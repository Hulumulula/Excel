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 activeTab="1"/>
  </bookViews>
  <sheets>
    <sheet name="Вар_38" sheetId="1" r:id="rId1"/>
    <sheet name="Вар_39" sheetId="2" r:id="rId2"/>
  </sheets>
  <definedNames>
    <definedName name="solver_adj" localSheetId="0" hidden="1">Вар_38!$A$9:$C$9</definedName>
    <definedName name="solver_adj" localSheetId="1" hidden="1">Вар_39!$A$10:$D$10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2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0" localSheetId="1" hidden="1">Вар_39!$D$10</definedName>
    <definedName name="solver_lhs1" localSheetId="0" hidden="1">Вар_38!$A$12</definedName>
    <definedName name="solver_lhs1" localSheetId="1" hidden="1">Вар_39!$A$15</definedName>
    <definedName name="solver_lhs2" localSheetId="0" hidden="1">Вар_38!$A$13</definedName>
    <definedName name="solver_lhs2" localSheetId="1" hidden="1">Вар_39!$A$16</definedName>
    <definedName name="solver_lhs3" localSheetId="0" hidden="1">Вар_38!$A$14</definedName>
    <definedName name="solver_lhs3" localSheetId="1" hidden="1">Вар_39!$A$17</definedName>
    <definedName name="solver_lhs4" localSheetId="0" hidden="1">Вар_38!$A$9:$C$9</definedName>
    <definedName name="solver_lhs4" localSheetId="1" hidden="1">Вар_39!$A$18</definedName>
    <definedName name="solver_lhs5" localSheetId="1" hidden="1">Вар_39!$A$19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4</definedName>
    <definedName name="solver_num" localSheetId="1" hidden="1">5</definedName>
    <definedName name="solver_nwt" localSheetId="0" hidden="1">1</definedName>
    <definedName name="solver_nwt" localSheetId="1" hidden="1">1</definedName>
    <definedName name="solver_opt" localSheetId="0" hidden="1">Вар_38!$D$12</definedName>
    <definedName name="solver_opt" localSheetId="1" hidden="1">Вар_39!$C$12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2</definedName>
    <definedName name="solver_rel0" localSheetId="1" hidden="1">3</definedName>
    <definedName name="solver_rel1" localSheetId="0" hidden="1">1</definedName>
    <definedName name="solver_rel1" localSheetId="1" hidden="1">3</definedName>
    <definedName name="solver_rel2" localSheetId="0" hidden="1">1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4</definedName>
    <definedName name="solver_rel4" localSheetId="1" hidden="1">3</definedName>
    <definedName name="solver_rel5" localSheetId="1" hidden="1">1</definedName>
    <definedName name="solver_rhs0" localSheetId="1" hidden="1">0</definedName>
    <definedName name="solver_rhs1" localSheetId="0" hidden="1">Вар_38!$B$12</definedName>
    <definedName name="solver_rhs1" localSheetId="1" hidden="1">Вар_39!$B$15</definedName>
    <definedName name="solver_rhs2" localSheetId="0" hidden="1">Вар_38!$B$13</definedName>
    <definedName name="solver_rhs2" localSheetId="1" hidden="1">Вар_39!$B$16</definedName>
    <definedName name="solver_rhs3" localSheetId="0" hidden="1">Вар_38!$B$14</definedName>
    <definedName name="solver_rhs3" localSheetId="1" hidden="1">Вар_39!$B$17</definedName>
    <definedName name="solver_rhs4" localSheetId="0" hidden="1">целое</definedName>
    <definedName name="solver_rhs4" localSheetId="1" hidden="1">Вар_39!$B$18</definedName>
    <definedName name="solver_rhs5" localSheetId="1" hidden="1">Вар_39!$B$19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" l="1"/>
  <c r="A13" i="1"/>
  <c r="A12" i="1"/>
  <c r="D12" i="1"/>
  <c r="A19" i="2"/>
  <c r="A15" i="2"/>
  <c r="A18" i="2"/>
  <c r="A17" i="2"/>
  <c r="A16" i="2"/>
  <c r="C6" i="2"/>
  <c r="D6" i="2"/>
  <c r="E6" i="2"/>
  <c r="B6" i="2"/>
  <c r="C12" i="2" s="1"/>
</calcChain>
</file>

<file path=xl/sharedStrings.xml><?xml version="1.0" encoding="utf-8"?>
<sst xmlns="http://schemas.openxmlformats.org/spreadsheetml/2006/main" count="29" uniqueCount="24">
  <si>
    <t>Ресурсы</t>
  </si>
  <si>
    <t>Затраты ресурсов на реализацию товара стоимостью 1 тыс. руб.</t>
  </si>
  <si>
    <t>Объем ресурса</t>
  </si>
  <si>
    <t>П1</t>
  </si>
  <si>
    <t>П2</t>
  </si>
  <si>
    <t>П3</t>
  </si>
  <si>
    <t>Полезная площадь, м^2</t>
  </si>
  <si>
    <t>Рабочее время, чел*час</t>
  </si>
  <si>
    <t>Прибыль, тыс. руб.</t>
  </si>
  <si>
    <t>Переменные</t>
  </si>
  <si>
    <t>x</t>
  </si>
  <si>
    <t>y</t>
  </si>
  <si>
    <t>z</t>
  </si>
  <si>
    <t>Ограничения</t>
  </si>
  <si>
    <t>Прибыль</t>
  </si>
  <si>
    <t>Исход игры</t>
  </si>
  <si>
    <t>Выйгрыш или проигрыш на 1$, вложенные в вариант</t>
  </si>
  <si>
    <t>Вар. 1</t>
  </si>
  <si>
    <t>Вар. 2</t>
  </si>
  <si>
    <t>Вар. 3</t>
  </si>
  <si>
    <t>Вар. 4</t>
  </si>
  <si>
    <t>f</t>
  </si>
  <si>
    <t xml:space="preserve"> </t>
  </si>
  <si>
    <t>Целевая функция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</si>
</sst>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2" borderId="3" xfId="0" applyFill="1" applyBorder="1" applyAlignment="1">
      <alignment horizontal="center" vertic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7" xfId="0" applyBorder="1" applyAlignment="1"/>
    <xf numFmtId="0" fontId="0" fillId="0" borderId="0" xfId="0" applyAlignment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3" borderId="1" xfId="0" applyFill="1" applyBorder="1"/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0" borderId="10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Fill="1" applyBorder="1"/>
    <xf numFmtId="0" fontId="0" fillId="0" borderId="11" xfId="0" applyFill="1" applyBorder="1"/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1" xfId="0" applyFont="1" applyBorder="1"/>
    <xf numFmtId="0" fontId="0" fillId="2" borderId="1" xfId="0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485774</xdr:colOff>
      <xdr:row>0</xdr:row>
      <xdr:rowOff>242207</xdr:rowOff>
    </xdr:from>
    <xdr:to>
      <xdr:col>16</xdr:col>
      <xdr:colOff>106987</xdr:colOff>
      <xdr:row>17</xdr:row>
      <xdr:rowOff>104775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10" t="38645" r="53044" b="18359"/>
        <a:stretch/>
      </xdr:blipFill>
      <xdr:spPr>
        <a:xfrm>
          <a:off x="6315074" y="242207"/>
          <a:ext cx="6326813" cy="33391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8164</xdr:colOff>
      <xdr:row>0</xdr:row>
      <xdr:rowOff>0</xdr:rowOff>
    </xdr:from>
    <xdr:to>
      <xdr:col>19</xdr:col>
      <xdr:colOff>35987</xdr:colOff>
      <xdr:row>16</xdr:row>
      <xdr:rowOff>66675</xdr:rowOff>
    </xdr:to>
    <xdr:pic>
      <xdr:nvPicPr>
        <xdr:cNvPr id="3" name="Рисунок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464" r="52357" b="55673"/>
        <a:stretch/>
      </xdr:blipFill>
      <xdr:spPr>
        <a:xfrm>
          <a:off x="6008914" y="0"/>
          <a:ext cx="7343023" cy="3257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21" sqref="C21"/>
    </sheetView>
  </sheetViews>
  <sheetFormatPr defaultRowHeight="15" x14ac:dyDescent="0.25"/>
  <cols>
    <col min="1" max="1" width="23.7109375" customWidth="1"/>
    <col min="2" max="2" width="15.5703125" customWidth="1"/>
    <col min="3" max="3" width="12" customWidth="1"/>
    <col min="4" max="4" width="19.85546875" customWidth="1"/>
    <col min="5" max="5" width="16.28515625" customWidth="1"/>
  </cols>
  <sheetData>
    <row r="1" spans="1:5" ht="28.5" customHeight="1" thickBot="1" x14ac:dyDescent="0.3">
      <c r="A1" s="2" t="s">
        <v>0</v>
      </c>
      <c r="B1" s="4" t="s">
        <v>1</v>
      </c>
      <c r="C1" s="5"/>
      <c r="D1" s="6"/>
      <c r="E1" s="2" t="s">
        <v>2</v>
      </c>
    </row>
    <row r="2" spans="1:5" ht="15.75" thickBot="1" x14ac:dyDescent="0.3">
      <c r="A2" s="3"/>
      <c r="B2" s="7" t="s">
        <v>3</v>
      </c>
      <c r="C2" s="8" t="s">
        <v>4</v>
      </c>
      <c r="D2" s="9" t="s">
        <v>5</v>
      </c>
      <c r="E2" s="3"/>
    </row>
    <row r="3" spans="1:5" x14ac:dyDescent="0.25">
      <c r="A3" s="25" t="s">
        <v>6</v>
      </c>
      <c r="B3" s="16">
        <v>1.5</v>
      </c>
      <c r="C3" s="16">
        <v>2</v>
      </c>
      <c r="D3" s="16">
        <v>3</v>
      </c>
      <c r="E3" s="17">
        <v>450</v>
      </c>
    </row>
    <row r="4" spans="1:5" ht="15.75" thickBot="1" x14ac:dyDescent="0.3">
      <c r="A4" s="26" t="s">
        <v>7</v>
      </c>
      <c r="B4" s="18">
        <v>3</v>
      </c>
      <c r="C4" s="18">
        <v>2</v>
      </c>
      <c r="D4" s="18">
        <v>1.5</v>
      </c>
      <c r="E4" s="19">
        <v>600</v>
      </c>
    </row>
    <row r="5" spans="1:5" ht="15.75" thickBot="1" x14ac:dyDescent="0.3">
      <c r="A5" s="15" t="s">
        <v>8</v>
      </c>
      <c r="B5" s="20">
        <v>50</v>
      </c>
      <c r="C5" s="18">
        <v>65</v>
      </c>
      <c r="D5" s="19">
        <v>70</v>
      </c>
      <c r="E5" s="21"/>
    </row>
    <row r="6" spans="1:5" ht="15.75" thickBot="1" x14ac:dyDescent="0.3">
      <c r="A6" s="1"/>
      <c r="B6" s="1"/>
      <c r="C6" s="1"/>
      <c r="D6" s="1"/>
      <c r="E6" s="1"/>
    </row>
    <row r="7" spans="1:5" ht="15.75" thickBot="1" x14ac:dyDescent="0.3">
      <c r="A7" s="22" t="s">
        <v>9</v>
      </c>
      <c r="B7" s="23"/>
      <c r="C7" s="24"/>
      <c r="D7" s="1"/>
      <c r="E7" s="1"/>
    </row>
    <row r="8" spans="1:5" x14ac:dyDescent="0.25">
      <c r="A8" s="1" t="s">
        <v>10</v>
      </c>
      <c r="B8" s="1" t="s">
        <v>11</v>
      </c>
      <c r="C8" s="1" t="s">
        <v>12</v>
      </c>
      <c r="D8" s="1"/>
      <c r="E8" s="1"/>
    </row>
    <row r="9" spans="1:5" x14ac:dyDescent="0.25">
      <c r="A9" s="1">
        <v>100</v>
      </c>
      <c r="B9" s="1">
        <v>150</v>
      </c>
      <c r="C9" s="1">
        <v>0</v>
      </c>
      <c r="D9" s="1"/>
      <c r="E9" s="1"/>
    </row>
    <row r="10" spans="1:5" ht="15.75" thickBot="1" x14ac:dyDescent="0.3">
      <c r="A10" s="1"/>
      <c r="B10" s="1"/>
      <c r="C10" s="1"/>
      <c r="D10" s="1"/>
      <c r="E10" s="1"/>
    </row>
    <row r="11" spans="1:5" ht="15.75" thickBot="1" x14ac:dyDescent="0.3">
      <c r="A11" s="27" t="s">
        <v>13</v>
      </c>
      <c r="B11" s="28"/>
      <c r="C11" s="1"/>
      <c r="D11" s="29" t="s">
        <v>14</v>
      </c>
      <c r="E11" s="1"/>
    </row>
    <row r="12" spans="1:5" x14ac:dyDescent="0.25">
      <c r="A12" s="1">
        <f>1.5*A9+2*B9+3*C9</f>
        <v>450</v>
      </c>
      <c r="B12" s="1">
        <v>450</v>
      </c>
      <c r="C12" s="1"/>
      <c r="D12" s="30">
        <f>B5*A9+C5*B9+D5*C9</f>
        <v>14750</v>
      </c>
      <c r="E12" s="1"/>
    </row>
    <row r="13" spans="1:5" x14ac:dyDescent="0.25">
      <c r="A13" s="1">
        <f>3*A9+2*B9+1.5*C9</f>
        <v>600</v>
      </c>
      <c r="B13" s="1">
        <v>600</v>
      </c>
      <c r="C13" s="1"/>
      <c r="D13" s="1"/>
      <c r="E13" s="1"/>
    </row>
    <row r="14" spans="1:5" x14ac:dyDescent="0.25">
      <c r="A14" s="1">
        <f>B5*A9+C5*B9+D5*C9</f>
        <v>14750</v>
      </c>
      <c r="B14" s="1">
        <v>240</v>
      </c>
      <c r="C14" s="1"/>
      <c r="D14" s="1"/>
      <c r="E14" s="1"/>
    </row>
  </sheetData>
  <mergeCells count="5">
    <mergeCell ref="B1:D1"/>
    <mergeCell ref="A1:A2"/>
    <mergeCell ref="E1:E2"/>
    <mergeCell ref="A7:C7"/>
    <mergeCell ref="A11:B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tabSelected="1" zoomScaleNormal="100" workbookViewId="0">
      <selection activeCell="F23" sqref="F23"/>
    </sheetView>
  </sheetViews>
  <sheetFormatPr defaultRowHeight="15" x14ac:dyDescent="0.25"/>
  <cols>
    <col min="1" max="1" width="14.5703125" customWidth="1"/>
    <col min="2" max="2" width="22" customWidth="1"/>
    <col min="3" max="3" width="13.5703125" customWidth="1"/>
    <col min="4" max="4" width="14.140625" customWidth="1"/>
    <col min="5" max="5" width="14.85546875" customWidth="1"/>
  </cols>
  <sheetData>
    <row r="1" spans="1:6" ht="16.5" customHeight="1" thickBot="1" x14ac:dyDescent="0.3">
      <c r="A1" s="2" t="s">
        <v>15</v>
      </c>
      <c r="B1" s="4" t="s">
        <v>16</v>
      </c>
      <c r="C1" s="5"/>
      <c r="D1" s="5"/>
      <c r="E1" s="6"/>
    </row>
    <row r="2" spans="1:6" ht="15.75" thickBot="1" x14ac:dyDescent="0.3">
      <c r="A2" s="3"/>
      <c r="B2" s="32" t="s">
        <v>17</v>
      </c>
      <c r="C2" s="33" t="s">
        <v>18</v>
      </c>
      <c r="D2" s="33" t="s">
        <v>19</v>
      </c>
      <c r="E2" s="34" t="s">
        <v>20</v>
      </c>
    </row>
    <row r="3" spans="1:6" ht="15.75" thickBot="1" x14ac:dyDescent="0.3">
      <c r="A3" s="31">
        <v>1</v>
      </c>
      <c r="B3" s="35">
        <v>-3</v>
      </c>
      <c r="C3" s="13">
        <v>4</v>
      </c>
      <c r="D3" s="13">
        <v>-7</v>
      </c>
      <c r="E3" s="14">
        <v>15</v>
      </c>
      <c r="F3" s="39"/>
    </row>
    <row r="4" spans="1:6" ht="15.75" thickBot="1" x14ac:dyDescent="0.3">
      <c r="A4" s="31">
        <v>2</v>
      </c>
      <c r="B4" s="36">
        <v>5</v>
      </c>
      <c r="C4" s="37">
        <v>-3</v>
      </c>
      <c r="D4" s="37">
        <v>9</v>
      </c>
      <c r="E4" s="38">
        <v>4</v>
      </c>
      <c r="F4" s="39"/>
    </row>
    <row r="5" spans="1:6" ht="15.75" thickBot="1" x14ac:dyDescent="0.3">
      <c r="A5" s="31">
        <v>3</v>
      </c>
      <c r="B5" s="10">
        <v>3</v>
      </c>
      <c r="C5" s="11">
        <v>-9</v>
      </c>
      <c r="D5" s="11">
        <v>10</v>
      </c>
      <c r="E5" s="12">
        <v>-8</v>
      </c>
      <c r="F5" s="39"/>
    </row>
    <row r="6" spans="1:6" x14ac:dyDescent="0.25">
      <c r="B6" s="40">
        <f>SUM(B3:B5)</f>
        <v>5</v>
      </c>
      <c r="C6" s="40">
        <f t="shared" ref="C6:E6" si="0">SUM(C3:C5)</f>
        <v>-8</v>
      </c>
      <c r="D6" s="40">
        <f t="shared" si="0"/>
        <v>12</v>
      </c>
      <c r="E6" s="40">
        <f t="shared" si="0"/>
        <v>11</v>
      </c>
      <c r="F6" s="37"/>
    </row>
    <row r="7" spans="1:6" ht="15.75" thickBot="1" x14ac:dyDescent="0.3"/>
    <row r="8" spans="1:6" ht="15.75" thickBot="1" x14ac:dyDescent="0.3">
      <c r="A8" s="41" t="s">
        <v>9</v>
      </c>
      <c r="B8" s="42"/>
      <c r="C8" s="42"/>
      <c r="D8" s="43"/>
    </row>
    <row r="9" spans="1:6" x14ac:dyDescent="0.25">
      <c r="A9" t="s">
        <v>10</v>
      </c>
      <c r="B9" t="s">
        <v>11</v>
      </c>
      <c r="C9" t="s">
        <v>12</v>
      </c>
      <c r="D9" t="s">
        <v>21</v>
      </c>
    </row>
    <row r="10" spans="1:6" x14ac:dyDescent="0.25">
      <c r="A10">
        <v>0</v>
      </c>
      <c r="B10">
        <v>0</v>
      </c>
      <c r="C10">
        <v>500</v>
      </c>
      <c r="D10">
        <v>0</v>
      </c>
    </row>
    <row r="11" spans="1:6" ht="15.75" thickBot="1" x14ac:dyDescent="0.3"/>
    <row r="12" spans="1:6" ht="18" customHeight="1" thickBot="1" x14ac:dyDescent="0.3">
      <c r="B12" s="47" t="s">
        <v>23</v>
      </c>
      <c r="C12" s="46">
        <f>B6*A10+C6*B10+D6*C10+E6*D10</f>
        <v>6000</v>
      </c>
    </row>
    <row r="13" spans="1:6" ht="15.75" thickBot="1" x14ac:dyDescent="0.3"/>
    <row r="14" spans="1:6" ht="15.75" thickBot="1" x14ac:dyDescent="0.3">
      <c r="A14" s="44" t="s">
        <v>13</v>
      </c>
      <c r="B14" s="45"/>
    </row>
    <row r="15" spans="1:6" x14ac:dyDescent="0.25">
      <c r="A15" s="37">
        <f>A10</f>
        <v>0</v>
      </c>
      <c r="B15">
        <v>0</v>
      </c>
    </row>
    <row r="16" spans="1:6" x14ac:dyDescent="0.25">
      <c r="A16">
        <f>B10</f>
        <v>0</v>
      </c>
      <c r="B16">
        <v>0</v>
      </c>
    </row>
    <row r="17" spans="1:5" x14ac:dyDescent="0.25">
      <c r="A17">
        <f>C10</f>
        <v>500</v>
      </c>
      <c r="B17">
        <v>0</v>
      </c>
      <c r="D17" s="37"/>
    </row>
    <row r="18" spans="1:5" x14ac:dyDescent="0.25">
      <c r="A18">
        <f>D10</f>
        <v>0</v>
      </c>
      <c r="B18">
        <v>0</v>
      </c>
    </row>
    <row r="19" spans="1:5" x14ac:dyDescent="0.25">
      <c r="A19">
        <f>A10+B10+C10+D10</f>
        <v>500</v>
      </c>
      <c r="B19">
        <v>500</v>
      </c>
      <c r="E19" t="s">
        <v>22</v>
      </c>
    </row>
  </sheetData>
  <mergeCells count="4">
    <mergeCell ref="A1:A2"/>
    <mergeCell ref="B1:E1"/>
    <mergeCell ref="A8:D8"/>
    <mergeCell ref="A14:B1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Вар_38</vt:lpstr>
      <vt:lpstr>Вар_39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2019-07-08T11:11:31Z</dcterms:modified>
</cp:coreProperties>
</file>