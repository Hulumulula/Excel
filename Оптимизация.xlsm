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5"/>
  </bookViews>
  <sheets>
    <sheet name="Краски" sheetId="1" r:id="rId1"/>
    <sheet name="Транспортная задача" sheetId="2" r:id="rId2"/>
    <sheet name="Назначения" sheetId="3" r:id="rId3"/>
    <sheet name="Нелинейки" sheetId="4" r:id="rId4"/>
    <sheet name="Раскрой" sheetId="5" r:id="rId5"/>
    <sheet name="Журналы" sheetId="7" r:id="rId6"/>
  </sheets>
  <functionGroups builtInGroupCount="18"/>
  <definedNames>
    <definedName name="solver_adj" localSheetId="0" hidden="1">Краски!$B$9:$D$9</definedName>
    <definedName name="solver_adj" localSheetId="2" hidden="1">Назначения!$B$10:$E$15</definedName>
    <definedName name="solver_adj" localSheetId="3" hidden="1">Нелинейки!$G$3:$H$3</definedName>
    <definedName name="solver_adj" localSheetId="4" hidden="1">Раскрой!$F$2:$F$4</definedName>
    <definedName name="solver_adj" localSheetId="1" hidden="1">'Транспортная задача'!$B$11:$F$15</definedName>
    <definedName name="solver_cvg" localSheetId="0" hidden="1">0.0001</definedName>
    <definedName name="solver_cvg" localSheetId="2" hidden="1">0.0001</definedName>
    <definedName name="solver_cvg" localSheetId="3" hidden="1">0.0001</definedName>
    <definedName name="solver_cvg" localSheetId="4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3" hidden="1">1</definedName>
    <definedName name="solver_drv" localSheetId="4" hidden="1">2</definedName>
    <definedName name="solver_drv" localSheetId="1" hidden="1">1</definedName>
    <definedName name="solver_eng" localSheetId="0" hidden="1">2</definedName>
    <definedName name="solver_eng" localSheetId="2" hidden="1">2</definedName>
    <definedName name="solver_eng" localSheetId="3" hidden="1">1</definedName>
    <definedName name="solver_eng" localSheetId="4" hidden="1">2</definedName>
    <definedName name="solver_eng" localSheetId="1" hidden="1">2</definedName>
    <definedName name="solver_est" localSheetId="0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1" hidden="1">1</definedName>
    <definedName name="solver_itr" localSheetId="0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1" hidden="1">2147483647</definedName>
    <definedName name="solver_lhs1" localSheetId="0" hidden="1">Краски!$A$14</definedName>
    <definedName name="solver_lhs1" localSheetId="2" hidden="1">Назначения!$B$10:$E$15</definedName>
    <definedName name="solver_lhs1" localSheetId="3" hidden="1">Нелинейки!$G$3</definedName>
    <definedName name="solver_lhs1" localSheetId="4" hidden="1">Раскрой!$F$10</definedName>
    <definedName name="solver_lhs1" localSheetId="1" hidden="1">'Транспортная задача'!$B$11:$F$15</definedName>
    <definedName name="solver_lhs2" localSheetId="0" hidden="1">Краски!$A$15</definedName>
    <definedName name="solver_lhs2" localSheetId="2" hidden="1">Назначения!$B$10:$E$15</definedName>
    <definedName name="solver_lhs2" localSheetId="3" hidden="1">Нелинейки!$H$3</definedName>
    <definedName name="solver_lhs2" localSheetId="4" hidden="1">Раскрой!$F$2:$F$4</definedName>
    <definedName name="solver_lhs2" localSheetId="1" hidden="1">'Транспортная задача'!$B$11:$F$15</definedName>
    <definedName name="solver_lhs3" localSheetId="0" hidden="1">Краски!$A$16</definedName>
    <definedName name="solver_lhs3" localSheetId="2" hidden="1">Назначения!$B$10:$E$15</definedName>
    <definedName name="solver_lhs3" localSheetId="4" hidden="1">Раскрой!$F$2:$F$4</definedName>
    <definedName name="solver_lhs3" localSheetId="1" hidden="1">'Транспортная задача'!$B$16:$F$16</definedName>
    <definedName name="solver_lhs4" localSheetId="0" hidden="1">Краски!$A$17</definedName>
    <definedName name="solver_lhs4" localSheetId="2" hidden="1">Назначения!$B$16:$E$16</definedName>
    <definedName name="solver_lhs4" localSheetId="4" hidden="1">Раскрой!$F$8</definedName>
    <definedName name="solver_lhs4" localSheetId="1" hidden="1">'Транспортная задача'!$G$11:$G$15</definedName>
    <definedName name="solver_lhs5" localSheetId="0" hidden="1">Краски!$A$18</definedName>
    <definedName name="solver_lhs5" localSheetId="2" hidden="1">Назначения!$F$10:$F$15</definedName>
    <definedName name="solver_lhs5" localSheetId="4" hidden="1">Раскрой!$F$9</definedName>
    <definedName name="solver_mip" localSheetId="0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1" hidden="1">2147483647</definedName>
    <definedName name="solver_mni" localSheetId="0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1" hidden="1">30</definedName>
    <definedName name="solver_mrt" localSheetId="0" hidden="1">0.075</definedName>
    <definedName name="solver_mrt" localSheetId="2" hidden="1">0.075</definedName>
    <definedName name="solver_mrt" localSheetId="3" hidden="1">0.075</definedName>
    <definedName name="solver_mrt" localSheetId="4" hidden="1">0.075</definedName>
    <definedName name="solver_mrt" localSheetId="1" hidden="1">0.075</definedName>
    <definedName name="solver_msl" localSheetId="0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1" hidden="1">2</definedName>
    <definedName name="solver_neg" localSheetId="0" hidden="1">1</definedName>
    <definedName name="solver_neg" localSheetId="2" hidden="1">1</definedName>
    <definedName name="solver_neg" localSheetId="3" hidden="1">2</definedName>
    <definedName name="solver_neg" localSheetId="4" hidden="1">2</definedName>
    <definedName name="solver_neg" localSheetId="1" hidden="1">1</definedName>
    <definedName name="solver_nod" localSheetId="0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1" hidden="1">2147483647</definedName>
    <definedName name="solver_num" localSheetId="0" hidden="1">5</definedName>
    <definedName name="solver_num" localSheetId="2" hidden="1">5</definedName>
    <definedName name="solver_num" localSheetId="3" hidden="1">2</definedName>
    <definedName name="solver_num" localSheetId="4" hidden="1">5</definedName>
    <definedName name="solver_num" localSheetId="1" hidden="1">4</definedName>
    <definedName name="solver_nwt" localSheetId="0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1" hidden="1">1</definedName>
    <definedName name="solver_opt" localSheetId="0" hidden="1">Краски!$C$11</definedName>
    <definedName name="solver_opt" localSheetId="2" hidden="1">Назначения!$F$16</definedName>
    <definedName name="solver_opt" localSheetId="3" hidden="1">Нелинейки!$I$3</definedName>
    <definedName name="solver_opt" localSheetId="4" hidden="1">Раскрой!$F$5</definedName>
    <definedName name="solver_opt" localSheetId="1" hidden="1">'Транспортная задача'!$G$16</definedName>
    <definedName name="solver_pre" localSheetId="0" hidden="1">0.000001</definedName>
    <definedName name="solver_pre" localSheetId="2" hidden="1">0.000001</definedName>
    <definedName name="solver_pre" localSheetId="3" hidden="1">0.000001</definedName>
    <definedName name="solver_pre" localSheetId="4" hidden="1">0.000001</definedName>
    <definedName name="solver_pre" localSheetId="1" hidden="1">0.000001</definedName>
    <definedName name="solver_rbv" localSheetId="0" hidden="1">1</definedName>
    <definedName name="solver_rbv" localSheetId="2" hidden="1">1</definedName>
    <definedName name="solver_rbv" localSheetId="3" hidden="1">1</definedName>
    <definedName name="solver_rbv" localSheetId="4" hidden="1">2</definedName>
    <definedName name="solver_rbv" localSheetId="1" hidden="1">1</definedName>
    <definedName name="solver_rel1" localSheetId="0" hidden="1">1</definedName>
    <definedName name="solver_rel1" localSheetId="2" hidden="1">1</definedName>
    <definedName name="solver_rel1" localSheetId="3" hidden="1">3</definedName>
    <definedName name="solver_rel1" localSheetId="4" hidden="1">3</definedName>
    <definedName name="solver_rel1" localSheetId="1" hidden="1">4</definedName>
    <definedName name="solver_rel2" localSheetId="0" hidden="1">1</definedName>
    <definedName name="solver_rel2" localSheetId="2" hidden="1">4</definedName>
    <definedName name="solver_rel2" localSheetId="3" hidden="1">1</definedName>
    <definedName name="solver_rel2" localSheetId="4" hidden="1">4</definedName>
    <definedName name="solver_rel2" localSheetId="1" hidden="1">3</definedName>
    <definedName name="solver_rel3" localSheetId="0" hidden="1">1</definedName>
    <definedName name="solver_rel3" localSheetId="2" hidden="1">3</definedName>
    <definedName name="solver_rel3" localSheetId="4" hidden="1">3</definedName>
    <definedName name="solver_rel3" localSheetId="1" hidden="1">2</definedName>
    <definedName name="solver_rel4" localSheetId="0" hidden="1">1</definedName>
    <definedName name="solver_rel4" localSheetId="2" hidden="1">2</definedName>
    <definedName name="solver_rel4" localSheetId="4" hidden="1">3</definedName>
    <definedName name="solver_rel4" localSheetId="1" hidden="1">2</definedName>
    <definedName name="solver_rel5" localSheetId="0" hidden="1">1</definedName>
    <definedName name="solver_rel5" localSheetId="2" hidden="1">2</definedName>
    <definedName name="solver_rel5" localSheetId="4" hidden="1">3</definedName>
    <definedName name="solver_rhs1" localSheetId="0" hidden="1">Краски!$B$14</definedName>
    <definedName name="solver_rhs1" localSheetId="2" hidden="1">1</definedName>
    <definedName name="solver_rhs1" localSheetId="3" hidden="1">1</definedName>
    <definedName name="solver_rhs1" localSheetId="4" hidden="1">Раскрой!$D$5</definedName>
    <definedName name="solver_rhs1" localSheetId="1" hidden="1">целое</definedName>
    <definedName name="solver_rhs2" localSheetId="0" hidden="1">Краски!$B$15</definedName>
    <definedName name="solver_rhs2" localSheetId="2" hidden="1">целое</definedName>
    <definedName name="solver_rhs2" localSheetId="3" hidden="1">0</definedName>
    <definedName name="solver_rhs2" localSheetId="4" hidden="1">целое</definedName>
    <definedName name="solver_rhs2" localSheetId="1" hidden="1">0</definedName>
    <definedName name="solver_rhs3" localSheetId="0" hidden="1">Краски!$B$16</definedName>
    <definedName name="solver_rhs3" localSheetId="2" hidden="1">0</definedName>
    <definedName name="solver_rhs3" localSheetId="4" hidden="1">0</definedName>
    <definedName name="solver_rhs3" localSheetId="1" hidden="1">'Транспортная задача'!$B$8:$F$8</definedName>
    <definedName name="solver_rhs4" localSheetId="0" hidden="1">Краски!$B$17</definedName>
    <definedName name="solver_rhs4" localSheetId="2" hidden="1">Назначения!$B$9:$E$9</definedName>
    <definedName name="solver_rhs4" localSheetId="4" hidden="1">Раскрой!$B$5</definedName>
    <definedName name="solver_rhs4" localSheetId="1" hidden="1">'Транспортная задача'!$G$3:$G$7</definedName>
    <definedName name="solver_rhs5" localSheetId="0" hidden="1">Краски!$B$18</definedName>
    <definedName name="solver_rhs5" localSheetId="2" hidden="1">Назначения!$F$2:$F$7</definedName>
    <definedName name="solver_rhs5" localSheetId="4" hidden="1">Раскрой!$C$5</definedName>
    <definedName name="solver_rlx" localSheetId="0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1" hidden="1">2</definedName>
    <definedName name="solver_rsd" localSheetId="0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1" hidden="1">0</definedName>
    <definedName name="solver_scl" localSheetId="0" hidden="1">1</definedName>
    <definedName name="solver_scl" localSheetId="2" hidden="1">1</definedName>
    <definedName name="solver_scl" localSheetId="3" hidden="1">1</definedName>
    <definedName name="solver_scl" localSheetId="4" hidden="1">2</definedName>
    <definedName name="solver_scl" localSheetId="1" hidden="1">1</definedName>
    <definedName name="solver_sho" localSheetId="0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1" hidden="1">2</definedName>
    <definedName name="solver_ssz" localSheetId="0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1" hidden="1">100</definedName>
    <definedName name="solver_tim" localSheetId="0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1" hidden="1">2147483647</definedName>
    <definedName name="solver_tol" localSheetId="0" hidden="1">0.01</definedName>
    <definedName name="solver_tol" localSheetId="2" hidden="1">0.01</definedName>
    <definedName name="solver_tol" localSheetId="3" hidden="1">0.01</definedName>
    <definedName name="solver_tol" localSheetId="4" hidden="1">0.01</definedName>
    <definedName name="solver_tol" localSheetId="1" hidden="1">0.01</definedName>
    <definedName name="solver_typ" localSheetId="0" hidden="1">1</definedName>
    <definedName name="solver_typ" localSheetId="2" hidden="1">2</definedName>
    <definedName name="solver_typ" localSheetId="3" hidden="1">3</definedName>
    <definedName name="solver_typ" localSheetId="4" hidden="1">2</definedName>
    <definedName name="solver_typ" localSheetId="1" hidden="1">2</definedName>
    <definedName name="solver_val" localSheetId="0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1" hidden="1">0</definedName>
    <definedName name="solver_ver" localSheetId="0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1" hidden="1">3</definedName>
  </definedNames>
  <calcPr calcId="152511" calcMode="manual"/>
</workbook>
</file>

<file path=xl/calcChain.xml><?xml version="1.0" encoding="utf-8"?>
<calcChain xmlns="http://schemas.openxmlformats.org/spreadsheetml/2006/main">
  <c r="H9" i="7" l="1"/>
  <c r="F10" i="5"/>
  <c r="F9" i="5"/>
  <c r="F8" i="5"/>
  <c r="F5" i="5"/>
  <c r="F7" i="7" l="1"/>
  <c r="E7" i="7"/>
  <c r="D7" i="7"/>
  <c r="C7" i="7"/>
  <c r="B7" i="7"/>
  <c r="B10" i="7" a="1"/>
  <c r="B10" i="7" l="1"/>
  <c r="F10" i="7"/>
  <c r="E11" i="7"/>
  <c r="D12" i="7"/>
  <c r="C13" i="7"/>
  <c r="B14" i="7"/>
  <c r="F14" i="7"/>
  <c r="C10" i="7"/>
  <c r="B11" i="7"/>
  <c r="F11" i="7"/>
  <c r="E12" i="7"/>
  <c r="D13" i="7"/>
  <c r="C14" i="7"/>
  <c r="D10" i="7"/>
  <c r="C11" i="7"/>
  <c r="B12" i="7"/>
  <c r="F12" i="7"/>
  <c r="E13" i="7"/>
  <c r="D14" i="7"/>
  <c r="E10" i="7"/>
  <c r="D11" i="7"/>
  <c r="C12" i="7"/>
  <c r="B13" i="7"/>
  <c r="F13" i="7"/>
  <c r="E14" i="7"/>
  <c r="H3" i="7" l="1" a="1"/>
  <c r="H5" i="7" l="1"/>
  <c r="H6" i="7"/>
  <c r="H3" i="7"/>
  <c r="H7" i="7"/>
  <c r="H4" i="7"/>
  <c r="I3" i="4" l="1"/>
  <c r="C3" i="4"/>
  <c r="G10" i="4" l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9" i="4"/>
  <c r="A29" i="4"/>
  <c r="B29" i="4"/>
  <c r="C29" i="4"/>
  <c r="A30" i="4"/>
  <c r="B30" i="4" s="1"/>
  <c r="A24" i="4"/>
  <c r="B24" i="4" s="1"/>
  <c r="A16" i="4"/>
  <c r="B16" i="4" s="1"/>
  <c r="A17" i="4"/>
  <c r="B17" i="4" s="1"/>
  <c r="B10" i="4"/>
  <c r="C10" i="4"/>
  <c r="B11" i="4"/>
  <c r="C11" i="4"/>
  <c r="B12" i="4"/>
  <c r="C12" i="4"/>
  <c r="B13" i="4"/>
  <c r="C13" i="4"/>
  <c r="B14" i="4"/>
  <c r="C14" i="4"/>
  <c r="B15" i="4"/>
  <c r="C15" i="4"/>
  <c r="C9" i="4"/>
  <c r="B9" i="4"/>
  <c r="A11" i="4"/>
  <c r="A12" i="4" s="1"/>
  <c r="A13" i="4" s="1"/>
  <c r="A14" i="4" s="1"/>
  <c r="A15" i="4" s="1"/>
  <c r="A10" i="4"/>
  <c r="J8" i="4"/>
  <c r="I8" i="4"/>
  <c r="A31" i="4" l="1"/>
  <c r="C30" i="4"/>
  <c r="C24" i="4"/>
  <c r="A25" i="4"/>
  <c r="A18" i="4"/>
  <c r="C16" i="4"/>
  <c r="C17" i="4"/>
  <c r="C16" i="3"/>
  <c r="D16" i="3"/>
  <c r="E16" i="3"/>
  <c r="B16" i="3"/>
  <c r="F11" i="3"/>
  <c r="F12" i="3"/>
  <c r="F13" i="3"/>
  <c r="F14" i="3"/>
  <c r="F15" i="3"/>
  <c r="F10" i="3"/>
  <c r="F16" i="3"/>
  <c r="C31" i="4" l="1"/>
  <c r="B31" i="4"/>
  <c r="B25" i="4"/>
  <c r="C25" i="4"/>
  <c r="A26" i="4"/>
  <c r="C18" i="4"/>
  <c r="A19" i="4"/>
  <c r="B18" i="4"/>
  <c r="G16" i="2"/>
  <c r="B16" i="2"/>
  <c r="C16" i="2"/>
  <c r="D16" i="2"/>
  <c r="E16" i="2"/>
  <c r="G11" i="2"/>
  <c r="G12" i="2"/>
  <c r="G13" i="2"/>
  <c r="G14" i="2"/>
  <c r="G15" i="2"/>
  <c r="F16" i="2"/>
  <c r="F8" i="2"/>
  <c r="A27" i="4" l="1"/>
  <c r="C26" i="4"/>
  <c r="B26" i="4"/>
  <c r="C19" i="4"/>
  <c r="A20" i="4"/>
  <c r="B19" i="4"/>
  <c r="B25" i="1"/>
  <c r="C25" i="1"/>
  <c r="D25" i="1"/>
  <c r="E25" i="1"/>
  <c r="F25" i="1"/>
  <c r="G25" i="1"/>
  <c r="H25" i="1"/>
  <c r="I25" i="1"/>
  <c r="J25" i="1"/>
  <c r="B26" i="1"/>
  <c r="C26" i="1"/>
  <c r="D26" i="1"/>
  <c r="E26" i="1"/>
  <c r="F26" i="1"/>
  <c r="G26" i="1"/>
  <c r="H26" i="1"/>
  <c r="I26" i="1"/>
  <c r="J26" i="1"/>
  <c r="B27" i="1"/>
  <c r="C27" i="1"/>
  <c r="D27" i="1"/>
  <c r="E27" i="1"/>
  <c r="F27" i="1"/>
  <c r="G27" i="1"/>
  <c r="H27" i="1"/>
  <c r="I27" i="1"/>
  <c r="J27" i="1"/>
  <c r="B28" i="1"/>
  <c r="C28" i="1"/>
  <c r="D28" i="1"/>
  <c r="E28" i="1"/>
  <c r="F28" i="1"/>
  <c r="G28" i="1"/>
  <c r="H28" i="1"/>
  <c r="I28" i="1"/>
  <c r="J28" i="1"/>
  <c r="B29" i="1"/>
  <c r="C29" i="1"/>
  <c r="D29" i="1"/>
  <c r="E29" i="1"/>
  <c r="F29" i="1"/>
  <c r="G29" i="1"/>
  <c r="H29" i="1"/>
  <c r="I29" i="1"/>
  <c r="J29" i="1"/>
  <c r="B30" i="1"/>
  <c r="C30" i="1"/>
  <c r="D30" i="1"/>
  <c r="E30" i="1"/>
  <c r="F30" i="1"/>
  <c r="G30" i="1"/>
  <c r="H30" i="1"/>
  <c r="I30" i="1"/>
  <c r="J30" i="1"/>
  <c r="B31" i="1"/>
  <c r="C31" i="1"/>
  <c r="D31" i="1"/>
  <c r="E31" i="1"/>
  <c r="F31" i="1"/>
  <c r="G31" i="1"/>
  <c r="H31" i="1"/>
  <c r="I31" i="1"/>
  <c r="J31" i="1"/>
  <c r="B32" i="1"/>
  <c r="C32" i="1"/>
  <c r="D32" i="1"/>
  <c r="E32" i="1"/>
  <c r="F32" i="1"/>
  <c r="G32" i="1"/>
  <c r="H32" i="1"/>
  <c r="I32" i="1"/>
  <c r="J32" i="1"/>
  <c r="C24" i="1"/>
  <c r="D24" i="1"/>
  <c r="E24" i="1"/>
  <c r="F24" i="1"/>
  <c r="G24" i="1"/>
  <c r="H24" i="1"/>
  <c r="I24" i="1"/>
  <c r="J24" i="1"/>
  <c r="B36" i="1"/>
  <c r="C36" i="1"/>
  <c r="D36" i="1"/>
  <c r="E36" i="1"/>
  <c r="F36" i="1"/>
  <c r="G36" i="1"/>
  <c r="H36" i="1"/>
  <c r="I36" i="1"/>
  <c r="J36" i="1"/>
  <c r="B37" i="1"/>
  <c r="C37" i="1"/>
  <c r="D37" i="1"/>
  <c r="E37" i="1"/>
  <c r="F37" i="1"/>
  <c r="G37" i="1"/>
  <c r="H37" i="1"/>
  <c r="I37" i="1"/>
  <c r="J37" i="1"/>
  <c r="B38" i="1"/>
  <c r="C38" i="1"/>
  <c r="D38" i="1"/>
  <c r="E38" i="1"/>
  <c r="F38" i="1"/>
  <c r="G38" i="1"/>
  <c r="H38" i="1"/>
  <c r="I38" i="1"/>
  <c r="J38" i="1"/>
  <c r="B39" i="1"/>
  <c r="C39" i="1"/>
  <c r="D39" i="1"/>
  <c r="E39" i="1"/>
  <c r="F39" i="1"/>
  <c r="G39" i="1"/>
  <c r="H39" i="1"/>
  <c r="I39" i="1"/>
  <c r="J39" i="1"/>
  <c r="B40" i="1"/>
  <c r="C40" i="1"/>
  <c r="D40" i="1"/>
  <c r="E40" i="1"/>
  <c r="F40" i="1"/>
  <c r="G40" i="1"/>
  <c r="H40" i="1"/>
  <c r="I40" i="1"/>
  <c r="J40" i="1"/>
  <c r="B41" i="1"/>
  <c r="C41" i="1"/>
  <c r="D41" i="1"/>
  <c r="E41" i="1"/>
  <c r="F41" i="1"/>
  <c r="G41" i="1"/>
  <c r="H41" i="1"/>
  <c r="I41" i="1"/>
  <c r="J41" i="1"/>
  <c r="B42" i="1"/>
  <c r="C42" i="1"/>
  <c r="D42" i="1"/>
  <c r="E42" i="1"/>
  <c r="F42" i="1"/>
  <c r="G42" i="1"/>
  <c r="H42" i="1"/>
  <c r="I42" i="1"/>
  <c r="J42" i="1"/>
  <c r="B43" i="1"/>
  <c r="C43" i="1"/>
  <c r="D43" i="1"/>
  <c r="E43" i="1"/>
  <c r="F43" i="1"/>
  <c r="G43" i="1"/>
  <c r="H43" i="1"/>
  <c r="I43" i="1"/>
  <c r="J43" i="1"/>
  <c r="C35" i="1"/>
  <c r="D35" i="1"/>
  <c r="E35" i="1"/>
  <c r="F35" i="1"/>
  <c r="G35" i="1"/>
  <c r="H35" i="1"/>
  <c r="I35" i="1"/>
  <c r="J35" i="1"/>
  <c r="B47" i="1"/>
  <c r="C47" i="1"/>
  <c r="D47" i="1"/>
  <c r="E47" i="1"/>
  <c r="F47" i="1"/>
  <c r="G47" i="1"/>
  <c r="H47" i="1"/>
  <c r="I47" i="1"/>
  <c r="J47" i="1"/>
  <c r="B48" i="1"/>
  <c r="C48" i="1"/>
  <c r="D48" i="1"/>
  <c r="E48" i="1"/>
  <c r="F48" i="1"/>
  <c r="G48" i="1"/>
  <c r="H48" i="1"/>
  <c r="I48" i="1"/>
  <c r="J48" i="1"/>
  <c r="B49" i="1"/>
  <c r="C49" i="1"/>
  <c r="D49" i="1"/>
  <c r="E49" i="1"/>
  <c r="F49" i="1"/>
  <c r="G49" i="1"/>
  <c r="H49" i="1"/>
  <c r="I49" i="1"/>
  <c r="J49" i="1"/>
  <c r="B50" i="1"/>
  <c r="C50" i="1"/>
  <c r="D50" i="1"/>
  <c r="E50" i="1"/>
  <c r="F50" i="1"/>
  <c r="G50" i="1"/>
  <c r="H50" i="1"/>
  <c r="I50" i="1"/>
  <c r="J50" i="1"/>
  <c r="B51" i="1"/>
  <c r="C51" i="1"/>
  <c r="D51" i="1"/>
  <c r="E51" i="1"/>
  <c r="F51" i="1"/>
  <c r="G51" i="1"/>
  <c r="H51" i="1"/>
  <c r="I51" i="1"/>
  <c r="J51" i="1"/>
  <c r="B52" i="1"/>
  <c r="C52" i="1"/>
  <c r="D52" i="1"/>
  <c r="E52" i="1"/>
  <c r="F52" i="1"/>
  <c r="G52" i="1"/>
  <c r="H52" i="1"/>
  <c r="I52" i="1"/>
  <c r="J52" i="1"/>
  <c r="B53" i="1"/>
  <c r="C53" i="1"/>
  <c r="D53" i="1"/>
  <c r="E53" i="1"/>
  <c r="F53" i="1"/>
  <c r="G53" i="1"/>
  <c r="H53" i="1"/>
  <c r="I53" i="1"/>
  <c r="J53" i="1"/>
  <c r="B54" i="1"/>
  <c r="C54" i="1"/>
  <c r="D54" i="1"/>
  <c r="E54" i="1"/>
  <c r="F54" i="1"/>
  <c r="G54" i="1"/>
  <c r="H54" i="1"/>
  <c r="I54" i="1"/>
  <c r="J54" i="1"/>
  <c r="C46" i="1"/>
  <c r="D46" i="1"/>
  <c r="E46" i="1"/>
  <c r="F46" i="1"/>
  <c r="G46" i="1"/>
  <c r="H46" i="1"/>
  <c r="I46" i="1"/>
  <c r="J46" i="1"/>
  <c r="B46" i="1"/>
  <c r="B35" i="1"/>
  <c r="B24" i="1"/>
  <c r="C27" i="4" l="1"/>
  <c r="B27" i="4"/>
  <c r="A28" i="4"/>
  <c r="B20" i="4"/>
  <c r="A21" i="4"/>
  <c r="C20" i="4"/>
  <c r="A16" i="1"/>
  <c r="A15" i="1"/>
  <c r="A14" i="1"/>
  <c r="A17" i="1"/>
  <c r="A18" i="1"/>
  <c r="C11" i="1"/>
  <c r="B28" i="4" l="1"/>
  <c r="C28" i="4"/>
  <c r="C21" i="4"/>
  <c r="B21" i="4"/>
  <c r="A22" i="4"/>
  <c r="A23" i="4" l="1"/>
  <c r="B22" i="4"/>
  <c r="C22" i="4"/>
  <c r="C23" i="4" l="1"/>
  <c r="B23" i="4"/>
</calcChain>
</file>

<file path=xl/sharedStrings.xml><?xml version="1.0" encoding="utf-8"?>
<sst xmlns="http://schemas.openxmlformats.org/spreadsheetml/2006/main" count="56" uniqueCount="43">
  <si>
    <t>исходный продукт</t>
  </si>
  <si>
    <t>Расход на 1 тонну</t>
  </si>
  <si>
    <t>Запас</t>
  </si>
  <si>
    <t>C</t>
  </si>
  <si>
    <t>B</t>
  </si>
  <si>
    <t>A</t>
  </si>
  <si>
    <t>1 краска</t>
  </si>
  <si>
    <t>2 краска</t>
  </si>
  <si>
    <t>3 краска</t>
  </si>
  <si>
    <t>Переменные</t>
  </si>
  <si>
    <t>x</t>
  </si>
  <si>
    <t>y</t>
  </si>
  <si>
    <t>z</t>
  </si>
  <si>
    <t xml:space="preserve">Целевая функция = </t>
  </si>
  <si>
    <t>Ограничения</t>
  </si>
  <si>
    <t>Объемы производства</t>
  </si>
  <si>
    <t>Стоимость перевозки единицы продукции</t>
  </si>
  <si>
    <t>Дополнительный пункт производства</t>
  </si>
  <si>
    <t>Виды работ</t>
  </si>
  <si>
    <t>Рабочие</t>
  </si>
  <si>
    <t>Стоимость выполнения работ</t>
  </si>
  <si>
    <t>Эллипс</t>
  </si>
  <si>
    <t>Прямая</t>
  </si>
  <si>
    <t>a</t>
  </si>
  <si>
    <t>b</t>
  </si>
  <si>
    <t>Второй корень</t>
  </si>
  <si>
    <t>Первый корень</t>
  </si>
  <si>
    <t>Номер варианта разреза</t>
  </si>
  <si>
    <t>Остатки</t>
  </si>
  <si>
    <t>Вариант 1</t>
  </si>
  <si>
    <t>Вариант 2</t>
  </si>
  <si>
    <t>Вариант 3</t>
  </si>
  <si>
    <t>Количество</t>
  </si>
  <si>
    <t>Используемое</t>
  </si>
  <si>
    <t>``</t>
  </si>
  <si>
    <t>Продает за шт.</t>
  </si>
  <si>
    <t>Покупает у издательства за шт.</t>
  </si>
  <si>
    <t>Возврат за шт.</t>
  </si>
  <si>
    <t>Реализация</t>
  </si>
  <si>
    <t>Отчётный период</t>
  </si>
  <si>
    <t>Вероятность</t>
  </si>
  <si>
    <t>Продажа\Покупка</t>
  </si>
  <si>
    <t>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</si>
</sst>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left"/>
    </xf>
    <xf numFmtId="0" fontId="0" fillId="0" borderId="1" xfId="0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8" xfId="0" applyBorder="1"/>
    <xf numFmtId="0" fontId="0" fillId="0" borderId="1" xfId="0" applyBorder="1"/>
    <xf numFmtId="0" fontId="2" fillId="0" borderId="1" xfId="0" applyFont="1" applyBorder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2" borderId="1" xfId="0" applyFill="1" applyBorder="1" applyAlignment="1">
      <alignment wrapText="1"/>
    </xf>
    <xf numFmtId="0" fontId="0" fillId="0" borderId="9" xfId="0" applyBorder="1"/>
    <xf numFmtId="0" fontId="0" fillId="0" borderId="7" xfId="0" applyBorder="1"/>
    <xf numFmtId="0" fontId="0" fillId="0" borderId="0" xfId="0" applyBorder="1"/>
    <xf numFmtId="0" fontId="0" fillId="0" borderId="14" xfId="0" applyBorder="1"/>
    <xf numFmtId="0" fontId="2" fillId="4" borderId="1" xfId="0" applyFont="1" applyFill="1" applyBorder="1"/>
    <xf numFmtId="0" fontId="0" fillId="0" borderId="19" xfId="0" applyBorder="1"/>
    <xf numFmtId="0" fontId="0" fillId="0" borderId="0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8" xfId="0" applyFill="1" applyBorder="1"/>
    <xf numFmtId="0" fontId="2" fillId="5" borderId="1" xfId="0" applyFont="1" applyFill="1" applyBorder="1"/>
    <xf numFmtId="0" fontId="0" fillId="0" borderId="4" xfId="0" applyBorder="1"/>
    <xf numFmtId="0" fontId="2" fillId="0" borderId="0" xfId="0" applyFont="1" applyFill="1"/>
    <xf numFmtId="0" fontId="2" fillId="0" borderId="0" xfId="0" applyFont="1"/>
    <xf numFmtId="0" fontId="0" fillId="4" borderId="2" xfId="0" applyFont="1" applyFill="1" applyBorder="1"/>
    <xf numFmtId="0" fontId="2" fillId="7" borderId="1" xfId="0" applyFont="1" applyFill="1" applyBorder="1"/>
    <xf numFmtId="0" fontId="0" fillId="6" borderId="1" xfId="0" applyFill="1" applyBorder="1"/>
    <xf numFmtId="0" fontId="0" fillId="9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15" xfId="0" applyBorder="1"/>
    <xf numFmtId="0" fontId="0" fillId="4" borderId="20" xfId="0" applyFill="1" applyBorder="1"/>
    <xf numFmtId="0" fontId="0" fillId="10" borderId="20" xfId="0" applyFill="1" applyBorder="1"/>
    <xf numFmtId="0" fontId="0" fillId="6" borderId="10" xfId="0" applyFill="1" applyBorder="1"/>
    <xf numFmtId="0" fontId="0" fillId="4" borderId="20" xfId="0" applyFill="1" applyBorder="1" applyAlignment="1">
      <alignment wrapText="1"/>
    </xf>
    <xf numFmtId="0" fontId="0" fillId="11" borderId="1" xfId="0" applyFill="1" applyBorder="1"/>
    <xf numFmtId="0" fontId="2" fillId="0" borderId="1" xfId="0" applyFont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wrapText="1"/>
    </xf>
    <xf numFmtId="0" fontId="0" fillId="2" borderId="19" xfId="0" applyFill="1" applyBorder="1" applyAlignment="1">
      <alignment horizont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 vertical="center" textRotation="90"/>
    </xf>
    <xf numFmtId="0" fontId="0" fillId="2" borderId="15" xfId="0" applyFill="1" applyBorder="1" applyAlignment="1">
      <alignment horizontal="center" vertical="center" textRotation="90"/>
    </xf>
    <xf numFmtId="0" fontId="0" fillId="2" borderId="19" xfId="0" applyFill="1" applyBorder="1" applyAlignment="1">
      <alignment horizontal="center" vertical="center" textRotation="90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Краски!$B$24:$J$24</c:f>
              <c:numCache>
                <c:formatCode>General</c:formatCode>
                <c:ptCount val="9"/>
                <c:pt idx="0">
                  <c:v>7</c:v>
                </c:pt>
                <c:pt idx="1">
                  <c:v>6.75</c:v>
                </c:pt>
                <c:pt idx="2">
                  <c:v>6.5</c:v>
                </c:pt>
                <c:pt idx="3">
                  <c:v>6.25</c:v>
                </c:pt>
                <c:pt idx="4">
                  <c:v>6</c:v>
                </c:pt>
                <c:pt idx="5">
                  <c:v>5.75</c:v>
                </c:pt>
                <c:pt idx="6">
                  <c:v>5.5</c:v>
                </c:pt>
                <c:pt idx="7">
                  <c:v>5.25</c:v>
                </c:pt>
                <c:pt idx="8">
                  <c:v>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Краски!$B$25:$J$25</c:f>
              <c:numCache>
                <c:formatCode>General</c:formatCode>
                <c:ptCount val="9"/>
                <c:pt idx="0">
                  <c:v>6.25</c:v>
                </c:pt>
                <c:pt idx="1">
                  <c:v>6</c:v>
                </c:pt>
                <c:pt idx="2">
                  <c:v>5.75</c:v>
                </c:pt>
                <c:pt idx="3">
                  <c:v>5.5</c:v>
                </c:pt>
                <c:pt idx="4">
                  <c:v>5.25</c:v>
                </c:pt>
                <c:pt idx="5">
                  <c:v>5</c:v>
                </c:pt>
                <c:pt idx="6">
                  <c:v>4.75</c:v>
                </c:pt>
                <c:pt idx="7">
                  <c:v>4.5</c:v>
                </c:pt>
                <c:pt idx="8">
                  <c:v>4.25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Краски!$B$26:$J$26</c:f>
              <c:numCache>
                <c:formatCode>General</c:formatCode>
                <c:ptCount val="9"/>
                <c:pt idx="0">
                  <c:v>5.5</c:v>
                </c:pt>
                <c:pt idx="1">
                  <c:v>5.25</c:v>
                </c:pt>
                <c:pt idx="2">
                  <c:v>5</c:v>
                </c:pt>
                <c:pt idx="3">
                  <c:v>4.75</c:v>
                </c:pt>
                <c:pt idx="4">
                  <c:v>4.5</c:v>
                </c:pt>
                <c:pt idx="5">
                  <c:v>4.25</c:v>
                </c:pt>
                <c:pt idx="6">
                  <c:v>4</c:v>
                </c:pt>
                <c:pt idx="7">
                  <c:v>3.75</c:v>
                </c:pt>
                <c:pt idx="8">
                  <c:v>3.5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Краски!$B$27:$J$27</c:f>
              <c:numCache>
                <c:formatCode>General</c:formatCode>
                <c:ptCount val="9"/>
                <c:pt idx="0">
                  <c:v>4.75</c:v>
                </c:pt>
                <c:pt idx="1">
                  <c:v>4.5</c:v>
                </c:pt>
                <c:pt idx="2">
                  <c:v>4.25</c:v>
                </c:pt>
                <c:pt idx="3">
                  <c:v>4</c:v>
                </c:pt>
                <c:pt idx="4">
                  <c:v>3.75</c:v>
                </c:pt>
                <c:pt idx="5">
                  <c:v>3.5</c:v>
                </c:pt>
                <c:pt idx="6">
                  <c:v>3.25</c:v>
                </c:pt>
                <c:pt idx="7">
                  <c:v>3</c:v>
                </c:pt>
                <c:pt idx="8">
                  <c:v>2.75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Краски!$B$28:$J$28</c:f>
              <c:numCache>
                <c:formatCode>General</c:formatCode>
                <c:ptCount val="9"/>
                <c:pt idx="0">
                  <c:v>4</c:v>
                </c:pt>
                <c:pt idx="1">
                  <c:v>3.75</c:v>
                </c:pt>
                <c:pt idx="2">
                  <c:v>3.5</c:v>
                </c:pt>
                <c:pt idx="3">
                  <c:v>3.25</c:v>
                </c:pt>
                <c:pt idx="4">
                  <c:v>3</c:v>
                </c:pt>
                <c:pt idx="5">
                  <c:v>2.75</c:v>
                </c:pt>
                <c:pt idx="6">
                  <c:v>2.5</c:v>
                </c:pt>
                <c:pt idx="7">
                  <c:v>2.25</c:v>
                </c:pt>
                <c:pt idx="8">
                  <c:v>2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Краски!$B$29:$J$29</c:f>
              <c:numCache>
                <c:formatCode>General</c:formatCode>
                <c:ptCount val="9"/>
                <c:pt idx="0">
                  <c:v>3.25</c:v>
                </c:pt>
                <c:pt idx="1">
                  <c:v>3</c:v>
                </c:pt>
                <c:pt idx="2">
                  <c:v>2.75</c:v>
                </c:pt>
                <c:pt idx="3">
                  <c:v>2.5</c:v>
                </c:pt>
                <c:pt idx="4">
                  <c:v>2.25</c:v>
                </c:pt>
                <c:pt idx="5">
                  <c:v>2</c:v>
                </c:pt>
                <c:pt idx="6">
                  <c:v>1.75</c:v>
                </c:pt>
                <c:pt idx="7">
                  <c:v>1.5</c:v>
                </c:pt>
                <c:pt idx="8">
                  <c:v>1.25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Краски!$B$30:$J$30</c:f>
              <c:numCache>
                <c:formatCode>General</c:formatCode>
                <c:ptCount val="9"/>
                <c:pt idx="0">
                  <c:v>2.5</c:v>
                </c:pt>
                <c:pt idx="1">
                  <c:v>2.25</c:v>
                </c:pt>
                <c:pt idx="2">
                  <c:v>2</c:v>
                </c:pt>
                <c:pt idx="3">
                  <c:v>1.75</c:v>
                </c:pt>
                <c:pt idx="4">
                  <c:v>1.5</c:v>
                </c:pt>
                <c:pt idx="5">
                  <c:v>1.25</c:v>
                </c:pt>
                <c:pt idx="6">
                  <c:v>1</c:v>
                </c:pt>
                <c:pt idx="7">
                  <c:v>0.75</c:v>
                </c:pt>
                <c:pt idx="8">
                  <c:v>0.5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Краски!$B$31:$J$31</c:f>
              <c:numCache>
                <c:formatCode>General</c:formatCode>
                <c:ptCount val="9"/>
                <c:pt idx="0">
                  <c:v>1.75</c:v>
                </c:pt>
                <c:pt idx="1">
                  <c:v>1.5</c:v>
                </c:pt>
                <c:pt idx="2">
                  <c:v>1.25</c:v>
                </c:pt>
                <c:pt idx="3">
                  <c:v>1</c:v>
                </c:pt>
                <c:pt idx="4">
                  <c:v>0.75</c:v>
                </c:pt>
                <c:pt idx="5">
                  <c:v>0.5</c:v>
                </c:pt>
                <c:pt idx="6">
                  <c:v>0.25</c:v>
                </c:pt>
                <c:pt idx="7">
                  <c:v>0</c:v>
                </c:pt>
                <c:pt idx="8">
                  <c:v>-0.25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Краски!$B$32:$J$32</c:f>
              <c:numCache>
                <c:formatCode>General</c:formatCode>
                <c:ptCount val="9"/>
                <c:pt idx="0">
                  <c:v>1</c:v>
                </c:pt>
                <c:pt idx="1">
                  <c:v>0.75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  <c:pt idx="5">
                  <c:v>-0.25</c:v>
                </c:pt>
                <c:pt idx="6">
                  <c:v>-0.5</c:v>
                </c:pt>
                <c:pt idx="7">
                  <c:v>-0.75</c:v>
                </c:pt>
                <c:pt idx="8">
                  <c:v>-1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47332848"/>
        <c:axId val="247336376"/>
        <c:axId val="333971816"/>
      </c:surface3DChart>
      <c:catAx>
        <c:axId val="2473328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6376"/>
        <c:crosses val="autoZero"/>
        <c:auto val="1"/>
        <c:lblAlgn val="ctr"/>
        <c:lblOffset val="100"/>
        <c:noMultiLvlLbl val="0"/>
      </c:catAx>
      <c:valAx>
        <c:axId val="24733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2848"/>
        <c:crosses val="autoZero"/>
        <c:crossBetween val="midCat"/>
      </c:valAx>
      <c:serAx>
        <c:axId val="3339718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6376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Краски!$B$35:$J$35</c:f>
              <c:numCache>
                <c:formatCode>General</c:formatCode>
                <c:ptCount val="9"/>
                <c:pt idx="0">
                  <c:v>5</c:v>
                </c:pt>
                <c:pt idx="1">
                  <c:v>4.666666666666667</c:v>
                </c:pt>
                <c:pt idx="2">
                  <c:v>4.333333333333333</c:v>
                </c:pt>
                <c:pt idx="3">
                  <c:v>4</c:v>
                </c:pt>
                <c:pt idx="4">
                  <c:v>3.666666666666667</c:v>
                </c:pt>
                <c:pt idx="5">
                  <c:v>3.3333333333333335</c:v>
                </c:pt>
                <c:pt idx="6">
                  <c:v>3</c:v>
                </c:pt>
                <c:pt idx="7">
                  <c:v>2.666666666666667</c:v>
                </c:pt>
                <c:pt idx="8">
                  <c:v>2.3333333333333335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Краски!$B$36:$J$36</c:f>
              <c:numCache>
                <c:formatCode>General</c:formatCode>
                <c:ptCount val="9"/>
                <c:pt idx="0">
                  <c:v>4.5</c:v>
                </c:pt>
                <c:pt idx="1">
                  <c:v>4.166666666666667</c:v>
                </c:pt>
                <c:pt idx="2">
                  <c:v>3.833333333333333</c:v>
                </c:pt>
                <c:pt idx="3">
                  <c:v>3.5</c:v>
                </c:pt>
                <c:pt idx="4">
                  <c:v>3.166666666666667</c:v>
                </c:pt>
                <c:pt idx="5">
                  <c:v>2.8333333333333335</c:v>
                </c:pt>
                <c:pt idx="6">
                  <c:v>2.5</c:v>
                </c:pt>
                <c:pt idx="7">
                  <c:v>2.166666666666667</c:v>
                </c:pt>
                <c:pt idx="8">
                  <c:v>1.8333333333333335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Краски!$B$37:$J$37</c:f>
              <c:numCache>
                <c:formatCode>General</c:formatCode>
                <c:ptCount val="9"/>
                <c:pt idx="0">
                  <c:v>4</c:v>
                </c:pt>
                <c:pt idx="1">
                  <c:v>3.666666666666667</c:v>
                </c:pt>
                <c:pt idx="2">
                  <c:v>3.333333333333333</c:v>
                </c:pt>
                <c:pt idx="3">
                  <c:v>3</c:v>
                </c:pt>
                <c:pt idx="4">
                  <c:v>2.666666666666667</c:v>
                </c:pt>
                <c:pt idx="5">
                  <c:v>2.3333333333333335</c:v>
                </c:pt>
                <c:pt idx="6">
                  <c:v>2</c:v>
                </c:pt>
                <c:pt idx="7">
                  <c:v>1.666666666666667</c:v>
                </c:pt>
                <c:pt idx="8">
                  <c:v>1.3333333333333335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Краски!$B$38:$J$38</c:f>
              <c:numCache>
                <c:formatCode>General</c:formatCode>
                <c:ptCount val="9"/>
                <c:pt idx="0">
                  <c:v>3.5</c:v>
                </c:pt>
                <c:pt idx="1">
                  <c:v>3.166666666666667</c:v>
                </c:pt>
                <c:pt idx="2">
                  <c:v>2.833333333333333</c:v>
                </c:pt>
                <c:pt idx="3">
                  <c:v>2.5</c:v>
                </c:pt>
                <c:pt idx="4">
                  <c:v>2.166666666666667</c:v>
                </c:pt>
                <c:pt idx="5">
                  <c:v>1.8333333333333335</c:v>
                </c:pt>
                <c:pt idx="6">
                  <c:v>1.5</c:v>
                </c:pt>
                <c:pt idx="7">
                  <c:v>1.166666666666667</c:v>
                </c:pt>
                <c:pt idx="8">
                  <c:v>0.83333333333333348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Краски!$B$39:$J$39</c:f>
              <c:numCache>
                <c:formatCode>General</c:formatCode>
                <c:ptCount val="9"/>
                <c:pt idx="0">
                  <c:v>3</c:v>
                </c:pt>
                <c:pt idx="1">
                  <c:v>2.666666666666667</c:v>
                </c:pt>
                <c:pt idx="2">
                  <c:v>2.333333333333333</c:v>
                </c:pt>
                <c:pt idx="3">
                  <c:v>2</c:v>
                </c:pt>
                <c:pt idx="4">
                  <c:v>1.666666666666667</c:v>
                </c:pt>
                <c:pt idx="5">
                  <c:v>1.3333333333333335</c:v>
                </c:pt>
                <c:pt idx="6">
                  <c:v>1</c:v>
                </c:pt>
                <c:pt idx="7">
                  <c:v>0.66666666666666696</c:v>
                </c:pt>
                <c:pt idx="8">
                  <c:v>0.33333333333333348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Краски!$B$40:$J$40</c:f>
              <c:numCache>
                <c:formatCode>General</c:formatCode>
                <c:ptCount val="9"/>
                <c:pt idx="0">
                  <c:v>2.5</c:v>
                </c:pt>
                <c:pt idx="1">
                  <c:v>2.166666666666667</c:v>
                </c:pt>
                <c:pt idx="2">
                  <c:v>1.833333333333333</c:v>
                </c:pt>
                <c:pt idx="3">
                  <c:v>1.5</c:v>
                </c:pt>
                <c:pt idx="4">
                  <c:v>1.166666666666667</c:v>
                </c:pt>
                <c:pt idx="5">
                  <c:v>0.83333333333333348</c:v>
                </c:pt>
                <c:pt idx="6">
                  <c:v>0.5</c:v>
                </c:pt>
                <c:pt idx="7">
                  <c:v>0.16666666666666696</c:v>
                </c:pt>
                <c:pt idx="8">
                  <c:v>-0.16666666666666652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Краски!$B$41:$J$41</c:f>
              <c:numCache>
                <c:formatCode>General</c:formatCode>
                <c:ptCount val="9"/>
                <c:pt idx="0">
                  <c:v>2</c:v>
                </c:pt>
                <c:pt idx="1">
                  <c:v>1.666666666666667</c:v>
                </c:pt>
                <c:pt idx="2">
                  <c:v>1.333333333333333</c:v>
                </c:pt>
                <c:pt idx="3">
                  <c:v>1</c:v>
                </c:pt>
                <c:pt idx="4">
                  <c:v>0.66666666666666696</c:v>
                </c:pt>
                <c:pt idx="5">
                  <c:v>0.33333333333333348</c:v>
                </c:pt>
                <c:pt idx="6">
                  <c:v>0</c:v>
                </c:pt>
                <c:pt idx="7">
                  <c:v>-0.33333333333333304</c:v>
                </c:pt>
                <c:pt idx="8">
                  <c:v>-0.66666666666666652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Краски!$B$42:$J$42</c:f>
              <c:numCache>
                <c:formatCode>General</c:formatCode>
                <c:ptCount val="9"/>
                <c:pt idx="0">
                  <c:v>1.5</c:v>
                </c:pt>
                <c:pt idx="1">
                  <c:v>1.166666666666667</c:v>
                </c:pt>
                <c:pt idx="2">
                  <c:v>0.83333333333333304</c:v>
                </c:pt>
                <c:pt idx="3">
                  <c:v>0.5</c:v>
                </c:pt>
                <c:pt idx="4">
                  <c:v>0.16666666666666696</c:v>
                </c:pt>
                <c:pt idx="5">
                  <c:v>-0.16666666666666652</c:v>
                </c:pt>
                <c:pt idx="6">
                  <c:v>-0.5</c:v>
                </c:pt>
                <c:pt idx="7">
                  <c:v>-0.83333333333333304</c:v>
                </c:pt>
                <c:pt idx="8">
                  <c:v>-1.1666666666666665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Краски!$B$43:$J$43</c:f>
              <c:numCache>
                <c:formatCode>General</c:formatCode>
                <c:ptCount val="9"/>
                <c:pt idx="0">
                  <c:v>1</c:v>
                </c:pt>
                <c:pt idx="1">
                  <c:v>0.66666666666666696</c:v>
                </c:pt>
                <c:pt idx="2">
                  <c:v>0.33333333333333304</c:v>
                </c:pt>
                <c:pt idx="3">
                  <c:v>0</c:v>
                </c:pt>
                <c:pt idx="4">
                  <c:v>-0.33333333333333304</c:v>
                </c:pt>
                <c:pt idx="5">
                  <c:v>-0.66666666666666652</c:v>
                </c:pt>
                <c:pt idx="6">
                  <c:v>-1</c:v>
                </c:pt>
                <c:pt idx="7">
                  <c:v>-1.333333333333333</c:v>
                </c:pt>
                <c:pt idx="8">
                  <c:v>-1.6666666666666665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47334024"/>
        <c:axId val="247335200"/>
        <c:axId val="333976904"/>
      </c:surface3DChart>
      <c:catAx>
        <c:axId val="2473340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5200"/>
        <c:crosses val="autoZero"/>
        <c:auto val="1"/>
        <c:lblAlgn val="ctr"/>
        <c:lblOffset val="100"/>
        <c:noMultiLvlLbl val="0"/>
      </c:catAx>
      <c:valAx>
        <c:axId val="24733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4024"/>
        <c:crosses val="autoZero"/>
        <c:crossBetween val="midCat"/>
      </c:valAx>
      <c:serAx>
        <c:axId val="333976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5200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Краски!$B$46:$J$46</c:f>
              <c:numCache>
                <c:formatCode>General</c:formatCode>
                <c:ptCount val="9"/>
                <c:pt idx="0">
                  <c:v>8</c:v>
                </c:pt>
                <c:pt idx="1">
                  <c:v>7.75</c:v>
                </c:pt>
                <c:pt idx="2">
                  <c:v>7.5</c:v>
                </c:pt>
                <c:pt idx="3">
                  <c:v>7.25</c:v>
                </c:pt>
                <c:pt idx="4">
                  <c:v>7</c:v>
                </c:pt>
                <c:pt idx="5">
                  <c:v>6.75</c:v>
                </c:pt>
                <c:pt idx="6">
                  <c:v>6.5</c:v>
                </c:pt>
                <c:pt idx="7">
                  <c:v>6.25</c:v>
                </c:pt>
                <c:pt idx="8">
                  <c:v>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Краски!$B$47:$J$47</c:f>
              <c:numCache>
                <c:formatCode>General</c:formatCode>
                <c:ptCount val="9"/>
                <c:pt idx="0">
                  <c:v>7.875</c:v>
                </c:pt>
                <c:pt idx="1">
                  <c:v>7.625</c:v>
                </c:pt>
                <c:pt idx="2">
                  <c:v>7.375</c:v>
                </c:pt>
                <c:pt idx="3">
                  <c:v>7.125</c:v>
                </c:pt>
                <c:pt idx="4">
                  <c:v>6.875</c:v>
                </c:pt>
                <c:pt idx="5">
                  <c:v>6.625</c:v>
                </c:pt>
                <c:pt idx="6">
                  <c:v>6.375</c:v>
                </c:pt>
                <c:pt idx="7">
                  <c:v>6.125</c:v>
                </c:pt>
                <c:pt idx="8">
                  <c:v>5.875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Краски!$B$48:$J$48</c:f>
              <c:numCache>
                <c:formatCode>General</c:formatCode>
                <c:ptCount val="9"/>
                <c:pt idx="0">
                  <c:v>7.75</c:v>
                </c:pt>
                <c:pt idx="1">
                  <c:v>7.5</c:v>
                </c:pt>
                <c:pt idx="2">
                  <c:v>7.25</c:v>
                </c:pt>
                <c:pt idx="3">
                  <c:v>7</c:v>
                </c:pt>
                <c:pt idx="4">
                  <c:v>6.75</c:v>
                </c:pt>
                <c:pt idx="5">
                  <c:v>6.5</c:v>
                </c:pt>
                <c:pt idx="6">
                  <c:v>6.25</c:v>
                </c:pt>
                <c:pt idx="7">
                  <c:v>6</c:v>
                </c:pt>
                <c:pt idx="8">
                  <c:v>5.75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Краски!$B$49:$J$49</c:f>
              <c:numCache>
                <c:formatCode>General</c:formatCode>
                <c:ptCount val="9"/>
                <c:pt idx="0">
                  <c:v>7.625</c:v>
                </c:pt>
                <c:pt idx="1">
                  <c:v>7.375</c:v>
                </c:pt>
                <c:pt idx="2">
                  <c:v>7.125</c:v>
                </c:pt>
                <c:pt idx="3">
                  <c:v>6.875</c:v>
                </c:pt>
                <c:pt idx="4">
                  <c:v>6.625</c:v>
                </c:pt>
                <c:pt idx="5">
                  <c:v>6.375</c:v>
                </c:pt>
                <c:pt idx="6">
                  <c:v>6.125</c:v>
                </c:pt>
                <c:pt idx="7">
                  <c:v>5.875</c:v>
                </c:pt>
                <c:pt idx="8">
                  <c:v>5.625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Краски!$B$50:$J$50</c:f>
              <c:numCache>
                <c:formatCode>General</c:formatCode>
                <c:ptCount val="9"/>
                <c:pt idx="0">
                  <c:v>7.5</c:v>
                </c:pt>
                <c:pt idx="1">
                  <c:v>7.25</c:v>
                </c:pt>
                <c:pt idx="2">
                  <c:v>7</c:v>
                </c:pt>
                <c:pt idx="3">
                  <c:v>6.75</c:v>
                </c:pt>
                <c:pt idx="4">
                  <c:v>6.5</c:v>
                </c:pt>
                <c:pt idx="5">
                  <c:v>6.25</c:v>
                </c:pt>
                <c:pt idx="6">
                  <c:v>6</c:v>
                </c:pt>
                <c:pt idx="7">
                  <c:v>5.75</c:v>
                </c:pt>
                <c:pt idx="8">
                  <c:v>5.5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Краски!$B$51:$J$51</c:f>
              <c:numCache>
                <c:formatCode>General</c:formatCode>
                <c:ptCount val="9"/>
                <c:pt idx="0">
                  <c:v>7.375</c:v>
                </c:pt>
                <c:pt idx="1">
                  <c:v>7.125</c:v>
                </c:pt>
                <c:pt idx="2">
                  <c:v>6.875</c:v>
                </c:pt>
                <c:pt idx="3">
                  <c:v>6.625</c:v>
                </c:pt>
                <c:pt idx="4">
                  <c:v>6.375</c:v>
                </c:pt>
                <c:pt idx="5">
                  <c:v>6.125</c:v>
                </c:pt>
                <c:pt idx="6">
                  <c:v>5.875</c:v>
                </c:pt>
                <c:pt idx="7">
                  <c:v>5.625</c:v>
                </c:pt>
                <c:pt idx="8">
                  <c:v>5.375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Краски!$B$52:$J$52</c:f>
              <c:numCache>
                <c:formatCode>General</c:formatCode>
                <c:ptCount val="9"/>
                <c:pt idx="0">
                  <c:v>7.25</c:v>
                </c:pt>
                <c:pt idx="1">
                  <c:v>7</c:v>
                </c:pt>
                <c:pt idx="2">
                  <c:v>6.75</c:v>
                </c:pt>
                <c:pt idx="3">
                  <c:v>6.5</c:v>
                </c:pt>
                <c:pt idx="4">
                  <c:v>6.25</c:v>
                </c:pt>
                <c:pt idx="5">
                  <c:v>6</c:v>
                </c:pt>
                <c:pt idx="6">
                  <c:v>5.75</c:v>
                </c:pt>
                <c:pt idx="7">
                  <c:v>5.5</c:v>
                </c:pt>
                <c:pt idx="8">
                  <c:v>5.25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Краски!$B$53:$J$53</c:f>
              <c:numCache>
                <c:formatCode>General</c:formatCode>
                <c:ptCount val="9"/>
                <c:pt idx="0">
                  <c:v>7.125</c:v>
                </c:pt>
                <c:pt idx="1">
                  <c:v>6.875</c:v>
                </c:pt>
                <c:pt idx="2">
                  <c:v>6.625</c:v>
                </c:pt>
                <c:pt idx="3">
                  <c:v>6.375</c:v>
                </c:pt>
                <c:pt idx="4">
                  <c:v>6.125</c:v>
                </c:pt>
                <c:pt idx="5">
                  <c:v>5.875</c:v>
                </c:pt>
                <c:pt idx="6">
                  <c:v>5.625</c:v>
                </c:pt>
                <c:pt idx="7">
                  <c:v>5.375</c:v>
                </c:pt>
                <c:pt idx="8">
                  <c:v>5.125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Краски!$B$54:$J$54</c:f>
              <c:numCache>
                <c:formatCode>General</c:formatCode>
                <c:ptCount val="9"/>
                <c:pt idx="0">
                  <c:v>7</c:v>
                </c:pt>
                <c:pt idx="1">
                  <c:v>6.75</c:v>
                </c:pt>
                <c:pt idx="2">
                  <c:v>6.5</c:v>
                </c:pt>
                <c:pt idx="3">
                  <c:v>6.25</c:v>
                </c:pt>
                <c:pt idx="4">
                  <c:v>6</c:v>
                </c:pt>
                <c:pt idx="5">
                  <c:v>5.75</c:v>
                </c:pt>
                <c:pt idx="6">
                  <c:v>5.5</c:v>
                </c:pt>
                <c:pt idx="7">
                  <c:v>5.25</c:v>
                </c:pt>
                <c:pt idx="8">
                  <c:v>5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47336768"/>
        <c:axId val="247337552"/>
        <c:axId val="334361904"/>
      </c:surface3DChart>
      <c:catAx>
        <c:axId val="2473367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7552"/>
        <c:crosses val="autoZero"/>
        <c:auto val="1"/>
        <c:lblAlgn val="ctr"/>
        <c:lblOffset val="100"/>
        <c:noMultiLvlLbl val="0"/>
      </c:catAx>
      <c:valAx>
        <c:axId val="24733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6768"/>
        <c:crosses val="autoZero"/>
        <c:crossBetween val="midCat"/>
      </c:valAx>
      <c:serAx>
        <c:axId val="334361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7552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Система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Нелинейки!$F$9:$F$25</c:f>
              <c:numCache>
                <c:formatCode>General</c:formatCode>
                <c:ptCount val="17"/>
                <c:pt idx="0">
                  <c:v>-4</c:v>
                </c:pt>
                <c:pt idx="1">
                  <c:v>-3.5</c:v>
                </c:pt>
                <c:pt idx="2">
                  <c:v>-3</c:v>
                </c:pt>
                <c:pt idx="3">
                  <c:v>-2.5</c:v>
                </c:pt>
                <c:pt idx="4">
                  <c:v>-2</c:v>
                </c:pt>
                <c:pt idx="5">
                  <c:v>-1.5</c:v>
                </c:pt>
                <c:pt idx="6">
                  <c:v>-1</c:v>
                </c:pt>
                <c:pt idx="7">
                  <c:v>-0.5</c:v>
                </c:pt>
                <c:pt idx="8">
                  <c:v>0</c:v>
                </c:pt>
                <c:pt idx="9">
                  <c:v>0.5</c:v>
                </c:pt>
                <c:pt idx="10">
                  <c:v>1</c:v>
                </c:pt>
                <c:pt idx="11">
                  <c:v>1.5</c:v>
                </c:pt>
                <c:pt idx="12">
                  <c:v>2</c:v>
                </c:pt>
                <c:pt idx="13">
                  <c:v>2.5</c:v>
                </c:pt>
                <c:pt idx="14">
                  <c:v>3</c:v>
                </c:pt>
                <c:pt idx="15">
                  <c:v>3.5</c:v>
                </c:pt>
                <c:pt idx="16">
                  <c:v>4</c:v>
                </c:pt>
              </c:numCache>
            </c:numRef>
          </c:xVal>
          <c:yVal>
            <c:numRef>
              <c:f>Нелинейки!$G$9:$G$25</c:f>
              <c:numCache>
                <c:formatCode>General</c:formatCode>
                <c:ptCount val="17"/>
                <c:pt idx="0">
                  <c:v>1.5714285714285714</c:v>
                </c:pt>
                <c:pt idx="1">
                  <c:v>1.4285714285714286</c:v>
                </c:pt>
                <c:pt idx="2">
                  <c:v>1.2857142857142858</c:v>
                </c:pt>
                <c:pt idx="3">
                  <c:v>1.1428571428571428</c:v>
                </c:pt>
                <c:pt idx="4">
                  <c:v>1</c:v>
                </c:pt>
                <c:pt idx="5">
                  <c:v>0.8571428571428571</c:v>
                </c:pt>
                <c:pt idx="6">
                  <c:v>0.7142857142857143</c:v>
                </c:pt>
                <c:pt idx="7">
                  <c:v>0.5714285714285714</c:v>
                </c:pt>
                <c:pt idx="8">
                  <c:v>0.42857142857142855</c:v>
                </c:pt>
                <c:pt idx="9">
                  <c:v>0.2857142857142857</c:v>
                </c:pt>
                <c:pt idx="10">
                  <c:v>0.14285714285714285</c:v>
                </c:pt>
                <c:pt idx="11">
                  <c:v>0</c:v>
                </c:pt>
                <c:pt idx="12">
                  <c:v>-0.14285714285714285</c:v>
                </c:pt>
                <c:pt idx="13">
                  <c:v>-0.2857142857142857</c:v>
                </c:pt>
                <c:pt idx="14">
                  <c:v>-0.42857142857142855</c:v>
                </c:pt>
                <c:pt idx="15">
                  <c:v>-0.5714285714285714</c:v>
                </c:pt>
                <c:pt idx="16">
                  <c:v>-0.7142857142857143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Нелинейки!$B$9:$B$31</c:f>
              <c:numCache>
                <c:formatCode>General</c:formatCode>
                <c:ptCount val="23"/>
                <c:pt idx="0">
                  <c:v>2.2360679774997898</c:v>
                </c:pt>
                <c:pt idx="1">
                  <c:v>2.1266270208800999</c:v>
                </c:pt>
                <c:pt idx="2">
                  <c:v>1.8090169943749477</c:v>
                </c:pt>
                <c:pt idx="3">
                  <c:v>1.3143277802978341</c:v>
                </c:pt>
                <c:pt idx="4">
                  <c:v>0.69098300562505266</c:v>
                </c:pt>
                <c:pt idx="5">
                  <c:v>1.3697576138522551E-16</c:v>
                </c:pt>
                <c:pt idx="6">
                  <c:v>-0.69098300562505244</c:v>
                </c:pt>
                <c:pt idx="7">
                  <c:v>-1.3143277802978339</c:v>
                </c:pt>
                <c:pt idx="8">
                  <c:v>-1.8090169943749472</c:v>
                </c:pt>
                <c:pt idx="9">
                  <c:v>-2.1266270208800999</c:v>
                </c:pt>
                <c:pt idx="10">
                  <c:v>-2.2360679774997898</c:v>
                </c:pt>
                <c:pt idx="11">
                  <c:v>-2.1266270208800999</c:v>
                </c:pt>
                <c:pt idx="12">
                  <c:v>-1.8090169943749479</c:v>
                </c:pt>
                <c:pt idx="13">
                  <c:v>-1.3143277802978344</c:v>
                </c:pt>
                <c:pt idx="14">
                  <c:v>-0.69098300562505288</c:v>
                </c:pt>
                <c:pt idx="15">
                  <c:v>-4.1092728415567655E-16</c:v>
                </c:pt>
                <c:pt idx="16">
                  <c:v>0.69098300562505222</c:v>
                </c:pt>
                <c:pt idx="17">
                  <c:v>1.3143277802978337</c:v>
                </c:pt>
                <c:pt idx="18">
                  <c:v>1.8090169943749472</c:v>
                </c:pt>
                <c:pt idx="19">
                  <c:v>2.1266270208800999</c:v>
                </c:pt>
                <c:pt idx="20">
                  <c:v>2.2360679774997898</c:v>
                </c:pt>
                <c:pt idx="21">
                  <c:v>2.1266270208800999</c:v>
                </c:pt>
                <c:pt idx="22">
                  <c:v>1.8090169943749479</c:v>
                </c:pt>
              </c:numCache>
            </c:numRef>
          </c:xVal>
          <c:yVal>
            <c:numRef>
              <c:f>Нелинейки!$C$9:$C$31</c:f>
              <c:numCache>
                <c:formatCode>General</c:formatCode>
                <c:ptCount val="23"/>
                <c:pt idx="0">
                  <c:v>0</c:v>
                </c:pt>
                <c:pt idx="1">
                  <c:v>0.488598768962137</c:v>
                </c:pt>
                <c:pt idx="2">
                  <c:v>0.92937008615046124</c:v>
                </c:pt>
                <c:pt idx="3">
                  <c:v>1.2791681840042319</c:v>
                </c:pt>
                <c:pt idx="4">
                  <c:v>1.5037523875188643</c:v>
                </c:pt>
                <c:pt idx="5">
                  <c:v>1.5811388300841898</c:v>
                </c:pt>
                <c:pt idx="6">
                  <c:v>1.5037523875188643</c:v>
                </c:pt>
                <c:pt idx="7">
                  <c:v>1.2791681840042319</c:v>
                </c:pt>
                <c:pt idx="8">
                  <c:v>0.92937008615046146</c:v>
                </c:pt>
                <c:pt idx="9">
                  <c:v>0.48859876896213716</c:v>
                </c:pt>
                <c:pt idx="10">
                  <c:v>1.9371297946736681E-16</c:v>
                </c:pt>
                <c:pt idx="11">
                  <c:v>-0.48859876896213678</c:v>
                </c:pt>
                <c:pt idx="12">
                  <c:v>-0.92937008615046113</c:v>
                </c:pt>
                <c:pt idx="13">
                  <c:v>-1.2791681840042317</c:v>
                </c:pt>
                <c:pt idx="14">
                  <c:v>-1.5037523875188643</c:v>
                </c:pt>
                <c:pt idx="15">
                  <c:v>-1.5811388300841898</c:v>
                </c:pt>
                <c:pt idx="16">
                  <c:v>-1.5037523875188643</c:v>
                </c:pt>
                <c:pt idx="17">
                  <c:v>-1.2791681840042322</c:v>
                </c:pt>
                <c:pt idx="18">
                  <c:v>-0.92937008615046168</c:v>
                </c:pt>
                <c:pt idx="19">
                  <c:v>-0.48859876896213733</c:v>
                </c:pt>
                <c:pt idx="20">
                  <c:v>-3.8742595893473363E-16</c:v>
                </c:pt>
                <c:pt idx="21">
                  <c:v>0.48859876896213661</c:v>
                </c:pt>
                <c:pt idx="22">
                  <c:v>0.92937008615046091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337944"/>
        <c:axId val="207366560"/>
      </c:scatterChart>
      <c:valAx>
        <c:axId val="24733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366560"/>
        <c:crosses val="autoZero"/>
        <c:crossBetween val="midCat"/>
      </c:valAx>
      <c:valAx>
        <c:axId val="20736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47337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4833280088198E-2"/>
          <c:y val="7.5784501994751022E-2"/>
          <c:w val="0.87421118899517036"/>
          <c:h val="0.8380188320011994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Раскрой!$F$2:$F$4</c:f>
              <c:numCache>
                <c:formatCode>General</c:formatCode>
                <c:ptCount val="3"/>
                <c:pt idx="0">
                  <c:v>150</c:v>
                </c:pt>
                <c:pt idx="1">
                  <c:v>250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580104"/>
        <c:axId val="326578928"/>
      </c:barChart>
      <c:catAx>
        <c:axId val="3265801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578928"/>
        <c:crosses val="autoZero"/>
        <c:auto val="1"/>
        <c:lblAlgn val="ctr"/>
        <c:lblOffset val="100"/>
        <c:noMultiLvlLbl val="0"/>
      </c:catAx>
      <c:valAx>
        <c:axId val="32657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658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Журналы!$B$9:$F$9</c:f>
              <c:numCache>
                <c:formatCode>General</c:formatCode>
                <c:ptCount val="5"/>
                <c:pt idx="0">
                  <c:v>0</c:v>
                </c:pt>
                <c:pt idx="1">
                  <c:v>7</c:v>
                </c:pt>
                <c:pt idx="2">
                  <c:v>14</c:v>
                </c:pt>
                <c:pt idx="3">
                  <c:v>21</c:v>
                </c:pt>
                <c:pt idx="4">
                  <c:v>28</c:v>
                </c:pt>
              </c:numCache>
            </c:numRef>
          </c:cat>
          <c:val>
            <c:numRef>
              <c:f>Журналы!$H$3:$H$7</c:f>
              <c:numCache>
                <c:formatCode>General</c:formatCode>
                <c:ptCount val="5"/>
                <c:pt idx="0">
                  <c:v>0</c:v>
                </c:pt>
                <c:pt idx="1">
                  <c:v>66.5</c:v>
                </c:pt>
                <c:pt idx="2">
                  <c:v>117.25000000000003</c:v>
                </c:pt>
                <c:pt idx="3">
                  <c:v>123.375</c:v>
                </c:pt>
                <c:pt idx="4">
                  <c:v>92.750000000000014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575104"/>
        <c:axId val="328568832"/>
      </c:barChart>
      <c:catAx>
        <c:axId val="32857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8568832"/>
        <c:crosses val="autoZero"/>
        <c:auto val="1"/>
        <c:lblAlgn val="ctr"/>
        <c:lblOffset val="100"/>
        <c:noMultiLvlLbl val="0"/>
      </c:catAx>
      <c:valAx>
        <c:axId val="32856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857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</xdr:colOff>
      <xdr:row>0</xdr:row>
      <xdr:rowOff>0</xdr:rowOff>
    </xdr:from>
    <xdr:to>
      <xdr:col>16</xdr:col>
      <xdr:colOff>342099</xdr:colOff>
      <xdr:row>19</xdr:row>
      <xdr:rowOff>37632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62400" y="0"/>
          <a:ext cx="6409524" cy="3742857"/>
        </a:xfrm>
        <a:prstGeom prst="rect">
          <a:avLst/>
        </a:prstGeom>
      </xdr:spPr>
    </xdr:pic>
    <xdr:clientData/>
  </xdr:twoCellAnchor>
  <xdr:twoCellAnchor>
    <xdr:from>
      <xdr:col>10</xdr:col>
      <xdr:colOff>209550</xdr:colOff>
      <xdr:row>20</xdr:row>
      <xdr:rowOff>4762</xdr:rowOff>
    </xdr:from>
    <xdr:to>
      <xdr:col>18</xdr:col>
      <xdr:colOff>0</xdr:colOff>
      <xdr:row>32</xdr:row>
      <xdr:rowOff>19050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333374</xdr:colOff>
      <xdr:row>32</xdr:row>
      <xdr:rowOff>128587</xdr:rowOff>
    </xdr:from>
    <xdr:to>
      <xdr:col>18</xdr:col>
      <xdr:colOff>76199</xdr:colOff>
      <xdr:row>43</xdr:row>
      <xdr:rowOff>47625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342900</xdr:colOff>
      <xdr:row>43</xdr:row>
      <xdr:rowOff>109537</xdr:rowOff>
    </xdr:from>
    <xdr:to>
      <xdr:col>17</xdr:col>
      <xdr:colOff>590550</xdr:colOff>
      <xdr:row>54</xdr:row>
      <xdr:rowOff>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0</xdr:rowOff>
    </xdr:from>
    <xdr:to>
      <xdr:col>16</xdr:col>
      <xdr:colOff>75513</xdr:colOff>
      <xdr:row>24</xdr:row>
      <xdr:rowOff>94629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0" y="0"/>
          <a:ext cx="5495238" cy="49714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333375</xdr:colOff>
      <xdr:row>0</xdr:row>
      <xdr:rowOff>19050</xdr:rowOff>
    </xdr:from>
    <xdr:to>
      <xdr:col>16</xdr:col>
      <xdr:colOff>342213</xdr:colOff>
      <xdr:row>12</xdr:row>
      <xdr:rowOff>104470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19050"/>
          <a:ext cx="5495238" cy="243809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409575</xdr:colOff>
      <xdr:row>0</xdr:row>
      <xdr:rowOff>47625</xdr:rowOff>
    </xdr:from>
    <xdr:to>
      <xdr:col>5</xdr:col>
      <xdr:colOff>257042</xdr:colOff>
      <xdr:row>3</xdr:row>
      <xdr:rowOff>171361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375" y="47625"/>
          <a:ext cx="1066667" cy="714286"/>
        </a:xfrm>
        <a:prstGeom prst="rect">
          <a:avLst/>
        </a:prstGeom>
      </xdr:spPr>
    </xdr:pic>
    <xdr:clientData/>
  </xdr:twoCellAnchor>
  <xdr:twoCellAnchor>
    <xdr:from>
      <xdr:col>10</xdr:col>
      <xdr:colOff>180974</xdr:colOff>
      <xdr:row>0</xdr:row>
      <xdr:rowOff>23811</xdr:rowOff>
    </xdr:from>
    <xdr:to>
      <xdr:col>18</xdr:col>
      <xdr:colOff>609599</xdr:colOff>
      <xdr:row>17</xdr:row>
      <xdr:rowOff>19049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571500</xdr:colOff>
      <xdr:row>0</xdr:row>
      <xdr:rowOff>0</xdr:rowOff>
    </xdr:from>
    <xdr:to>
      <xdr:col>16</xdr:col>
      <xdr:colOff>351919</xdr:colOff>
      <xdr:row>10</xdr:row>
      <xdr:rowOff>161663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0" y="0"/>
          <a:ext cx="4047619" cy="20952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0</xdr:row>
          <xdr:rowOff>9525</xdr:rowOff>
        </xdr:from>
        <xdr:to>
          <xdr:col>9</xdr:col>
          <xdr:colOff>542925</xdr:colOff>
          <xdr:row>4</xdr:row>
          <xdr:rowOff>19050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</xdr:row>
      <xdr:rowOff>152399</xdr:rowOff>
    </xdr:from>
    <xdr:to>
      <xdr:col>4</xdr:col>
      <xdr:colOff>561975</xdr:colOff>
      <xdr:row>21</xdr:row>
      <xdr:rowOff>166686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123825</xdr:colOff>
      <xdr:row>0</xdr:row>
      <xdr:rowOff>0</xdr:rowOff>
    </xdr:from>
    <xdr:to>
      <xdr:col>15</xdr:col>
      <xdr:colOff>85168</xdr:colOff>
      <xdr:row>14</xdr:row>
      <xdr:rowOff>161539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95950" y="0"/>
          <a:ext cx="4457143" cy="3085714"/>
        </a:xfrm>
        <a:prstGeom prst="rect">
          <a:avLst/>
        </a:prstGeom>
      </xdr:spPr>
    </xdr:pic>
    <xdr:clientData/>
  </xdr:twoCellAnchor>
  <xdr:twoCellAnchor>
    <xdr:from>
      <xdr:col>0</xdr:col>
      <xdr:colOff>1000125</xdr:colOff>
      <xdr:row>15</xdr:row>
      <xdr:rowOff>4762</xdr:rowOff>
    </xdr:from>
    <xdr:to>
      <xdr:col>8</xdr:col>
      <xdr:colOff>0</xdr:colOff>
      <xdr:row>29</xdr:row>
      <xdr:rowOff>80962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4"/>
  <sheetViews>
    <sheetView zoomScaleNormal="100" workbookViewId="0">
      <selection activeCell="B17" sqref="B17"/>
    </sheetView>
  </sheetViews>
  <sheetFormatPr defaultRowHeight="15" x14ac:dyDescent="0.25"/>
  <cols>
    <col min="1" max="1" width="13" customWidth="1"/>
    <col min="2" max="2" width="9.42578125" customWidth="1"/>
  </cols>
  <sheetData>
    <row r="1" spans="1:5" x14ac:dyDescent="0.25">
      <c r="A1" s="50" t="s">
        <v>0</v>
      </c>
      <c r="B1" s="52" t="s">
        <v>1</v>
      </c>
      <c r="C1" s="52"/>
      <c r="D1" s="52"/>
      <c r="E1" s="53" t="s">
        <v>2</v>
      </c>
    </row>
    <row r="2" spans="1:5" ht="15.75" thickBot="1" x14ac:dyDescent="0.3">
      <c r="A2" s="51"/>
      <c r="B2" s="2" t="s">
        <v>6</v>
      </c>
      <c r="C2" s="2" t="s">
        <v>7</v>
      </c>
      <c r="D2" s="2" t="s">
        <v>8</v>
      </c>
      <c r="E2" s="54"/>
    </row>
    <row r="3" spans="1:5" x14ac:dyDescent="0.25">
      <c r="A3" s="1" t="s">
        <v>3</v>
      </c>
      <c r="B3" s="3">
        <v>1</v>
      </c>
      <c r="C3" s="3">
        <v>3</v>
      </c>
      <c r="D3" s="3">
        <v>2</v>
      </c>
      <c r="E3" s="4">
        <v>7</v>
      </c>
    </row>
    <row r="4" spans="1:5" x14ac:dyDescent="0.25">
      <c r="A4" s="1" t="s">
        <v>4</v>
      </c>
      <c r="B4" s="3">
        <v>2</v>
      </c>
      <c r="C4" s="3">
        <v>3</v>
      </c>
      <c r="D4" s="3">
        <v>3</v>
      </c>
      <c r="E4" s="4">
        <v>5</v>
      </c>
    </row>
    <row r="5" spans="1:5" x14ac:dyDescent="0.25">
      <c r="A5" s="1" t="s">
        <v>5</v>
      </c>
      <c r="B5" s="3">
        <v>2</v>
      </c>
      <c r="C5" s="3">
        <v>1</v>
      </c>
      <c r="D5" s="3">
        <v>4</v>
      </c>
      <c r="E5" s="4">
        <v>8</v>
      </c>
    </row>
    <row r="6" spans="1:5" ht="15.75" thickBot="1" x14ac:dyDescent="0.3"/>
    <row r="7" spans="1:5" ht="15.75" thickBot="1" x14ac:dyDescent="0.3">
      <c r="A7" s="47" t="s">
        <v>9</v>
      </c>
      <c r="B7" s="48"/>
      <c r="C7" s="48"/>
      <c r="D7" s="48"/>
      <c r="E7" s="49"/>
    </row>
    <row r="8" spans="1:5" ht="15.75" thickBot="1" x14ac:dyDescent="0.3">
      <c r="A8" s="6"/>
      <c r="B8" s="5" t="s">
        <v>10</v>
      </c>
      <c r="C8" s="5" t="s">
        <v>11</v>
      </c>
      <c r="D8" s="5" t="s">
        <v>12</v>
      </c>
      <c r="E8" s="7"/>
    </row>
    <row r="9" spans="1:5" ht="15.75" thickBot="1" x14ac:dyDescent="0.3">
      <c r="A9" s="8"/>
      <c r="B9" s="9">
        <v>0</v>
      </c>
      <c r="C9" s="9">
        <v>0</v>
      </c>
      <c r="D9" s="9">
        <v>1.6666666666666665</v>
      </c>
      <c r="E9" s="10"/>
    </row>
    <row r="10" spans="1:5" ht="15.75" thickBot="1" x14ac:dyDescent="0.3"/>
    <row r="11" spans="1:5" ht="15.75" thickBot="1" x14ac:dyDescent="0.3">
      <c r="A11" s="47" t="s">
        <v>13</v>
      </c>
      <c r="B11" s="49"/>
      <c r="C11" s="11">
        <f>25000*B9+35000*C9+65000*D9</f>
        <v>108333.33333333333</v>
      </c>
    </row>
    <row r="12" spans="1:5" ht="15.75" thickBot="1" x14ac:dyDescent="0.3"/>
    <row r="13" spans="1:5" ht="15.75" thickBot="1" x14ac:dyDescent="0.3">
      <c r="A13" s="47" t="s">
        <v>14</v>
      </c>
      <c r="B13" s="48"/>
      <c r="C13" s="48"/>
      <c r="D13" s="48"/>
      <c r="E13" s="49"/>
    </row>
    <row r="14" spans="1:5" x14ac:dyDescent="0.25">
      <c r="A14">
        <f>B9+3*C9+2*D9</f>
        <v>3.333333333333333</v>
      </c>
      <c r="B14">
        <v>7</v>
      </c>
    </row>
    <row r="15" spans="1:5" x14ac:dyDescent="0.25">
      <c r="A15">
        <f>2*B9+3*C9+3*D9</f>
        <v>5</v>
      </c>
      <c r="B15">
        <v>5</v>
      </c>
    </row>
    <row r="16" spans="1:5" x14ac:dyDescent="0.25">
      <c r="A16">
        <f>2*B9+C9+4*D9</f>
        <v>6.6666666666666661</v>
      </c>
      <c r="B16">
        <v>8</v>
      </c>
    </row>
    <row r="17" spans="1:10" x14ac:dyDescent="0.25">
      <c r="A17">
        <f>C9-B9</f>
        <v>0</v>
      </c>
      <c r="B17">
        <v>3</v>
      </c>
    </row>
    <row r="18" spans="1:10" x14ac:dyDescent="0.25">
      <c r="A18">
        <f>C9</f>
        <v>0</v>
      </c>
      <c r="B18">
        <v>2</v>
      </c>
    </row>
    <row r="22" spans="1:10" ht="15.75" thickBot="1" x14ac:dyDescent="0.3"/>
    <row r="23" spans="1:10" ht="15.75" thickBot="1" x14ac:dyDescent="0.3">
      <c r="A23" s="12" t="s">
        <v>12</v>
      </c>
      <c r="B23">
        <v>0</v>
      </c>
      <c r="C23">
        <v>0.5</v>
      </c>
      <c r="D23">
        <v>1</v>
      </c>
      <c r="E23">
        <v>1.5</v>
      </c>
      <c r="F23">
        <v>2</v>
      </c>
      <c r="G23">
        <v>2.5</v>
      </c>
      <c r="H23">
        <v>3</v>
      </c>
      <c r="I23">
        <v>3.5</v>
      </c>
      <c r="J23">
        <v>4</v>
      </c>
    </row>
    <row r="24" spans="1:10" x14ac:dyDescent="0.25">
      <c r="A24">
        <v>0</v>
      </c>
      <c r="B24">
        <f>7-0.5*B$23-1.5*$A24</f>
        <v>7</v>
      </c>
      <c r="C24">
        <f t="shared" ref="C24:J32" si="0">7-0.5*C$23-1.5*$A24</f>
        <v>6.75</v>
      </c>
      <c r="D24">
        <f t="shared" si="0"/>
        <v>6.5</v>
      </c>
      <c r="E24">
        <f t="shared" si="0"/>
        <v>6.25</v>
      </c>
      <c r="F24">
        <f t="shared" si="0"/>
        <v>6</v>
      </c>
      <c r="G24">
        <f t="shared" si="0"/>
        <v>5.75</v>
      </c>
      <c r="H24">
        <f t="shared" si="0"/>
        <v>5.5</v>
      </c>
      <c r="I24">
        <f t="shared" si="0"/>
        <v>5.25</v>
      </c>
      <c r="J24">
        <f t="shared" si="0"/>
        <v>5</v>
      </c>
    </row>
    <row r="25" spans="1:10" x14ac:dyDescent="0.25">
      <c r="A25">
        <v>0.5</v>
      </c>
      <c r="B25">
        <f t="shared" ref="B25:B32" si="1">7-0.5*B$23-1.5*$A25</f>
        <v>6.25</v>
      </c>
      <c r="C25">
        <f t="shared" si="0"/>
        <v>6</v>
      </c>
      <c r="D25">
        <f t="shared" si="0"/>
        <v>5.75</v>
      </c>
      <c r="E25">
        <f t="shared" si="0"/>
        <v>5.5</v>
      </c>
      <c r="F25">
        <f t="shared" si="0"/>
        <v>5.25</v>
      </c>
      <c r="G25">
        <f t="shared" si="0"/>
        <v>5</v>
      </c>
      <c r="H25">
        <f t="shared" si="0"/>
        <v>4.75</v>
      </c>
      <c r="I25">
        <f t="shared" si="0"/>
        <v>4.5</v>
      </c>
      <c r="J25">
        <f t="shared" si="0"/>
        <v>4.25</v>
      </c>
    </row>
    <row r="26" spans="1:10" x14ac:dyDescent="0.25">
      <c r="A26">
        <v>1</v>
      </c>
      <c r="B26">
        <f t="shared" si="1"/>
        <v>5.5</v>
      </c>
      <c r="C26">
        <f t="shared" si="0"/>
        <v>5.25</v>
      </c>
      <c r="D26">
        <f t="shared" si="0"/>
        <v>5</v>
      </c>
      <c r="E26">
        <f t="shared" si="0"/>
        <v>4.75</v>
      </c>
      <c r="F26">
        <f t="shared" si="0"/>
        <v>4.5</v>
      </c>
      <c r="G26">
        <f t="shared" si="0"/>
        <v>4.25</v>
      </c>
      <c r="H26">
        <f t="shared" si="0"/>
        <v>4</v>
      </c>
      <c r="I26">
        <f t="shared" si="0"/>
        <v>3.75</v>
      </c>
      <c r="J26">
        <f t="shared" si="0"/>
        <v>3.5</v>
      </c>
    </row>
    <row r="27" spans="1:10" x14ac:dyDescent="0.25">
      <c r="A27">
        <v>1.5</v>
      </c>
      <c r="B27">
        <f t="shared" si="1"/>
        <v>4.75</v>
      </c>
      <c r="C27">
        <f t="shared" si="0"/>
        <v>4.5</v>
      </c>
      <c r="D27">
        <f t="shared" si="0"/>
        <v>4.25</v>
      </c>
      <c r="E27">
        <f t="shared" si="0"/>
        <v>4</v>
      </c>
      <c r="F27">
        <f t="shared" si="0"/>
        <v>3.75</v>
      </c>
      <c r="G27">
        <f t="shared" si="0"/>
        <v>3.5</v>
      </c>
      <c r="H27">
        <f t="shared" si="0"/>
        <v>3.25</v>
      </c>
      <c r="I27">
        <f t="shared" si="0"/>
        <v>3</v>
      </c>
      <c r="J27">
        <f t="shared" si="0"/>
        <v>2.75</v>
      </c>
    </row>
    <row r="28" spans="1:10" x14ac:dyDescent="0.25">
      <c r="A28">
        <v>2</v>
      </c>
      <c r="B28">
        <f t="shared" si="1"/>
        <v>4</v>
      </c>
      <c r="C28">
        <f t="shared" si="0"/>
        <v>3.75</v>
      </c>
      <c r="D28">
        <f t="shared" si="0"/>
        <v>3.5</v>
      </c>
      <c r="E28">
        <f t="shared" si="0"/>
        <v>3.25</v>
      </c>
      <c r="F28">
        <f t="shared" si="0"/>
        <v>3</v>
      </c>
      <c r="G28">
        <f t="shared" si="0"/>
        <v>2.75</v>
      </c>
      <c r="H28">
        <f t="shared" si="0"/>
        <v>2.5</v>
      </c>
      <c r="I28">
        <f t="shared" si="0"/>
        <v>2.25</v>
      </c>
      <c r="J28">
        <f t="shared" si="0"/>
        <v>2</v>
      </c>
    </row>
    <row r="29" spans="1:10" x14ac:dyDescent="0.25">
      <c r="A29">
        <v>2.5</v>
      </c>
      <c r="B29">
        <f t="shared" si="1"/>
        <v>3.25</v>
      </c>
      <c r="C29">
        <f t="shared" si="0"/>
        <v>3</v>
      </c>
      <c r="D29">
        <f t="shared" si="0"/>
        <v>2.75</v>
      </c>
      <c r="E29">
        <f t="shared" si="0"/>
        <v>2.5</v>
      </c>
      <c r="F29">
        <f t="shared" si="0"/>
        <v>2.25</v>
      </c>
      <c r="G29">
        <f t="shared" si="0"/>
        <v>2</v>
      </c>
      <c r="H29">
        <f t="shared" si="0"/>
        <v>1.75</v>
      </c>
      <c r="I29">
        <f t="shared" si="0"/>
        <v>1.5</v>
      </c>
      <c r="J29">
        <f t="shared" si="0"/>
        <v>1.25</v>
      </c>
    </row>
    <row r="30" spans="1:10" x14ac:dyDescent="0.25">
      <c r="A30">
        <v>3</v>
      </c>
      <c r="B30">
        <f t="shared" si="1"/>
        <v>2.5</v>
      </c>
      <c r="C30">
        <f t="shared" si="0"/>
        <v>2.25</v>
      </c>
      <c r="D30">
        <f t="shared" si="0"/>
        <v>2</v>
      </c>
      <c r="E30">
        <f t="shared" si="0"/>
        <v>1.75</v>
      </c>
      <c r="F30">
        <f t="shared" si="0"/>
        <v>1.5</v>
      </c>
      <c r="G30">
        <f t="shared" si="0"/>
        <v>1.25</v>
      </c>
      <c r="H30">
        <f t="shared" si="0"/>
        <v>1</v>
      </c>
      <c r="I30">
        <f t="shared" si="0"/>
        <v>0.75</v>
      </c>
      <c r="J30">
        <f t="shared" si="0"/>
        <v>0.5</v>
      </c>
    </row>
    <row r="31" spans="1:10" x14ac:dyDescent="0.25">
      <c r="A31">
        <v>3.5</v>
      </c>
      <c r="B31">
        <f t="shared" si="1"/>
        <v>1.75</v>
      </c>
      <c r="C31">
        <f t="shared" si="0"/>
        <v>1.5</v>
      </c>
      <c r="D31">
        <f t="shared" si="0"/>
        <v>1.25</v>
      </c>
      <c r="E31">
        <f t="shared" si="0"/>
        <v>1</v>
      </c>
      <c r="F31">
        <f t="shared" si="0"/>
        <v>0.75</v>
      </c>
      <c r="G31">
        <f t="shared" si="0"/>
        <v>0.5</v>
      </c>
      <c r="H31">
        <f t="shared" si="0"/>
        <v>0.25</v>
      </c>
      <c r="I31">
        <f t="shared" si="0"/>
        <v>0</v>
      </c>
      <c r="J31">
        <f t="shared" si="0"/>
        <v>-0.25</v>
      </c>
    </row>
    <row r="32" spans="1:10" x14ac:dyDescent="0.25">
      <c r="A32">
        <v>4</v>
      </c>
      <c r="B32">
        <f t="shared" si="1"/>
        <v>1</v>
      </c>
      <c r="C32">
        <f t="shared" si="0"/>
        <v>0.75</v>
      </c>
      <c r="D32">
        <f t="shared" si="0"/>
        <v>0.5</v>
      </c>
      <c r="E32">
        <f t="shared" si="0"/>
        <v>0.25</v>
      </c>
      <c r="F32">
        <f t="shared" si="0"/>
        <v>0</v>
      </c>
      <c r="G32">
        <f t="shared" si="0"/>
        <v>-0.25</v>
      </c>
      <c r="H32">
        <f t="shared" si="0"/>
        <v>-0.5</v>
      </c>
      <c r="I32">
        <f t="shared" si="0"/>
        <v>-0.75</v>
      </c>
      <c r="J32">
        <f t="shared" si="0"/>
        <v>-1</v>
      </c>
    </row>
    <row r="33" spans="1:10" ht="15.75" thickBot="1" x14ac:dyDescent="0.3"/>
    <row r="34" spans="1:10" ht="15.75" thickBot="1" x14ac:dyDescent="0.3">
      <c r="A34" s="12" t="s">
        <v>12</v>
      </c>
      <c r="B34">
        <v>0</v>
      </c>
      <c r="C34">
        <v>0.5</v>
      </c>
      <c r="D34">
        <v>1</v>
      </c>
      <c r="E34">
        <v>1.5</v>
      </c>
      <c r="F34">
        <v>2</v>
      </c>
      <c r="G34">
        <v>2.5</v>
      </c>
      <c r="H34">
        <v>3</v>
      </c>
      <c r="I34">
        <v>3.5</v>
      </c>
      <c r="J34">
        <v>4</v>
      </c>
    </row>
    <row r="35" spans="1:10" x14ac:dyDescent="0.25">
      <c r="A35">
        <v>0</v>
      </c>
      <c r="B35">
        <f>5-B$34*(2/3)-$A35</f>
        <v>5</v>
      </c>
      <c r="C35">
        <f t="shared" ref="C35:J43" si="2">5-C$34*(2/3)-$A35</f>
        <v>4.666666666666667</v>
      </c>
      <c r="D35">
        <f t="shared" si="2"/>
        <v>4.333333333333333</v>
      </c>
      <c r="E35">
        <f t="shared" si="2"/>
        <v>4</v>
      </c>
      <c r="F35">
        <f t="shared" si="2"/>
        <v>3.666666666666667</v>
      </c>
      <c r="G35">
        <f t="shared" si="2"/>
        <v>3.3333333333333335</v>
      </c>
      <c r="H35">
        <f t="shared" si="2"/>
        <v>3</v>
      </c>
      <c r="I35">
        <f t="shared" si="2"/>
        <v>2.666666666666667</v>
      </c>
      <c r="J35">
        <f t="shared" si="2"/>
        <v>2.3333333333333335</v>
      </c>
    </row>
    <row r="36" spans="1:10" x14ac:dyDescent="0.25">
      <c r="A36">
        <v>0.5</v>
      </c>
      <c r="B36">
        <f t="shared" ref="B36:B43" si="3">5-B$34*(2/3)-$A36</f>
        <v>4.5</v>
      </c>
      <c r="C36">
        <f t="shared" si="2"/>
        <v>4.166666666666667</v>
      </c>
      <c r="D36">
        <f t="shared" si="2"/>
        <v>3.833333333333333</v>
      </c>
      <c r="E36">
        <f t="shared" si="2"/>
        <v>3.5</v>
      </c>
      <c r="F36">
        <f t="shared" si="2"/>
        <v>3.166666666666667</v>
      </c>
      <c r="G36">
        <f t="shared" si="2"/>
        <v>2.8333333333333335</v>
      </c>
      <c r="H36">
        <f t="shared" si="2"/>
        <v>2.5</v>
      </c>
      <c r="I36">
        <f t="shared" si="2"/>
        <v>2.166666666666667</v>
      </c>
      <c r="J36">
        <f t="shared" si="2"/>
        <v>1.8333333333333335</v>
      </c>
    </row>
    <row r="37" spans="1:10" x14ac:dyDescent="0.25">
      <c r="A37">
        <v>1</v>
      </c>
      <c r="B37">
        <f t="shared" si="3"/>
        <v>4</v>
      </c>
      <c r="C37">
        <f t="shared" si="2"/>
        <v>3.666666666666667</v>
      </c>
      <c r="D37">
        <f t="shared" si="2"/>
        <v>3.333333333333333</v>
      </c>
      <c r="E37">
        <f t="shared" si="2"/>
        <v>3</v>
      </c>
      <c r="F37">
        <f t="shared" si="2"/>
        <v>2.666666666666667</v>
      </c>
      <c r="G37">
        <f t="shared" si="2"/>
        <v>2.3333333333333335</v>
      </c>
      <c r="H37">
        <f t="shared" si="2"/>
        <v>2</v>
      </c>
      <c r="I37">
        <f t="shared" si="2"/>
        <v>1.666666666666667</v>
      </c>
      <c r="J37">
        <f t="shared" si="2"/>
        <v>1.3333333333333335</v>
      </c>
    </row>
    <row r="38" spans="1:10" x14ac:dyDescent="0.25">
      <c r="A38">
        <v>1.5</v>
      </c>
      <c r="B38">
        <f t="shared" si="3"/>
        <v>3.5</v>
      </c>
      <c r="C38">
        <f t="shared" si="2"/>
        <v>3.166666666666667</v>
      </c>
      <c r="D38">
        <f t="shared" si="2"/>
        <v>2.833333333333333</v>
      </c>
      <c r="E38">
        <f t="shared" si="2"/>
        <v>2.5</v>
      </c>
      <c r="F38">
        <f t="shared" si="2"/>
        <v>2.166666666666667</v>
      </c>
      <c r="G38">
        <f t="shared" si="2"/>
        <v>1.8333333333333335</v>
      </c>
      <c r="H38">
        <f t="shared" si="2"/>
        <v>1.5</v>
      </c>
      <c r="I38">
        <f t="shared" si="2"/>
        <v>1.166666666666667</v>
      </c>
      <c r="J38">
        <f t="shared" si="2"/>
        <v>0.83333333333333348</v>
      </c>
    </row>
    <row r="39" spans="1:10" x14ac:dyDescent="0.25">
      <c r="A39">
        <v>2</v>
      </c>
      <c r="B39">
        <f t="shared" si="3"/>
        <v>3</v>
      </c>
      <c r="C39">
        <f t="shared" si="2"/>
        <v>2.666666666666667</v>
      </c>
      <c r="D39">
        <f t="shared" si="2"/>
        <v>2.333333333333333</v>
      </c>
      <c r="E39">
        <f t="shared" si="2"/>
        <v>2</v>
      </c>
      <c r="F39">
        <f t="shared" si="2"/>
        <v>1.666666666666667</v>
      </c>
      <c r="G39">
        <f t="shared" si="2"/>
        <v>1.3333333333333335</v>
      </c>
      <c r="H39">
        <f t="shared" si="2"/>
        <v>1</v>
      </c>
      <c r="I39">
        <f t="shared" si="2"/>
        <v>0.66666666666666696</v>
      </c>
      <c r="J39">
        <f t="shared" si="2"/>
        <v>0.33333333333333348</v>
      </c>
    </row>
    <row r="40" spans="1:10" x14ac:dyDescent="0.25">
      <c r="A40">
        <v>2.5</v>
      </c>
      <c r="B40">
        <f t="shared" si="3"/>
        <v>2.5</v>
      </c>
      <c r="C40">
        <f t="shared" si="2"/>
        <v>2.166666666666667</v>
      </c>
      <c r="D40">
        <f t="shared" si="2"/>
        <v>1.833333333333333</v>
      </c>
      <c r="E40">
        <f t="shared" si="2"/>
        <v>1.5</v>
      </c>
      <c r="F40">
        <f t="shared" si="2"/>
        <v>1.166666666666667</v>
      </c>
      <c r="G40">
        <f t="shared" si="2"/>
        <v>0.83333333333333348</v>
      </c>
      <c r="H40">
        <f t="shared" si="2"/>
        <v>0.5</v>
      </c>
      <c r="I40">
        <f t="shared" si="2"/>
        <v>0.16666666666666696</v>
      </c>
      <c r="J40">
        <f t="shared" si="2"/>
        <v>-0.16666666666666652</v>
      </c>
    </row>
    <row r="41" spans="1:10" x14ac:dyDescent="0.25">
      <c r="A41">
        <v>3</v>
      </c>
      <c r="B41">
        <f t="shared" si="3"/>
        <v>2</v>
      </c>
      <c r="C41">
        <f t="shared" si="2"/>
        <v>1.666666666666667</v>
      </c>
      <c r="D41">
        <f t="shared" si="2"/>
        <v>1.333333333333333</v>
      </c>
      <c r="E41">
        <f t="shared" si="2"/>
        <v>1</v>
      </c>
      <c r="F41">
        <f t="shared" si="2"/>
        <v>0.66666666666666696</v>
      </c>
      <c r="G41">
        <f t="shared" si="2"/>
        <v>0.33333333333333348</v>
      </c>
      <c r="H41">
        <f t="shared" si="2"/>
        <v>0</v>
      </c>
      <c r="I41">
        <f t="shared" si="2"/>
        <v>-0.33333333333333304</v>
      </c>
      <c r="J41">
        <f t="shared" si="2"/>
        <v>-0.66666666666666652</v>
      </c>
    </row>
    <row r="42" spans="1:10" x14ac:dyDescent="0.25">
      <c r="A42">
        <v>3.5</v>
      </c>
      <c r="B42">
        <f t="shared" si="3"/>
        <v>1.5</v>
      </c>
      <c r="C42">
        <f t="shared" si="2"/>
        <v>1.166666666666667</v>
      </c>
      <c r="D42">
        <f t="shared" si="2"/>
        <v>0.83333333333333304</v>
      </c>
      <c r="E42">
        <f t="shared" si="2"/>
        <v>0.5</v>
      </c>
      <c r="F42">
        <f t="shared" si="2"/>
        <v>0.16666666666666696</v>
      </c>
      <c r="G42">
        <f t="shared" si="2"/>
        <v>-0.16666666666666652</v>
      </c>
      <c r="H42">
        <f t="shared" si="2"/>
        <v>-0.5</v>
      </c>
      <c r="I42">
        <f t="shared" si="2"/>
        <v>-0.83333333333333304</v>
      </c>
      <c r="J42">
        <f t="shared" si="2"/>
        <v>-1.1666666666666665</v>
      </c>
    </row>
    <row r="43" spans="1:10" x14ac:dyDescent="0.25">
      <c r="A43">
        <v>4</v>
      </c>
      <c r="B43">
        <f t="shared" si="3"/>
        <v>1</v>
      </c>
      <c r="C43">
        <f t="shared" si="2"/>
        <v>0.66666666666666696</v>
      </c>
      <c r="D43">
        <f t="shared" si="2"/>
        <v>0.33333333333333304</v>
      </c>
      <c r="E43">
        <f t="shared" si="2"/>
        <v>0</v>
      </c>
      <c r="F43">
        <f t="shared" si="2"/>
        <v>-0.33333333333333304</v>
      </c>
      <c r="G43">
        <f t="shared" si="2"/>
        <v>-0.66666666666666652</v>
      </c>
      <c r="H43">
        <f t="shared" si="2"/>
        <v>-1</v>
      </c>
      <c r="I43">
        <f t="shared" si="2"/>
        <v>-1.333333333333333</v>
      </c>
      <c r="J43">
        <f t="shared" si="2"/>
        <v>-1.6666666666666665</v>
      </c>
    </row>
    <row r="44" spans="1:10" ht="15.75" thickBot="1" x14ac:dyDescent="0.3"/>
    <row r="45" spans="1:10" ht="15.75" thickBot="1" x14ac:dyDescent="0.3">
      <c r="A45" s="12" t="s">
        <v>12</v>
      </c>
      <c r="B45">
        <v>0</v>
      </c>
      <c r="C45">
        <v>0.5</v>
      </c>
      <c r="D45">
        <v>1</v>
      </c>
      <c r="E45">
        <v>1.5</v>
      </c>
      <c r="F45">
        <v>2</v>
      </c>
      <c r="G45">
        <v>2.5</v>
      </c>
      <c r="H45">
        <v>3</v>
      </c>
      <c r="I45">
        <v>3.5</v>
      </c>
      <c r="J45">
        <v>4</v>
      </c>
    </row>
    <row r="46" spans="1:10" x14ac:dyDescent="0.25">
      <c r="A46">
        <v>0</v>
      </c>
      <c r="B46">
        <f>8-B$45*0.5-$A46*0.25</f>
        <v>8</v>
      </c>
      <c r="C46">
        <f t="shared" ref="C46:J54" si="4">8-C$45*0.5-$A46*0.25</f>
        <v>7.75</v>
      </c>
      <c r="D46">
        <f t="shared" si="4"/>
        <v>7.5</v>
      </c>
      <c r="E46">
        <f t="shared" si="4"/>
        <v>7.25</v>
      </c>
      <c r="F46">
        <f t="shared" si="4"/>
        <v>7</v>
      </c>
      <c r="G46">
        <f t="shared" si="4"/>
        <v>6.75</v>
      </c>
      <c r="H46">
        <f t="shared" si="4"/>
        <v>6.5</v>
      </c>
      <c r="I46">
        <f t="shared" si="4"/>
        <v>6.25</v>
      </c>
      <c r="J46">
        <f t="shared" si="4"/>
        <v>6</v>
      </c>
    </row>
    <row r="47" spans="1:10" x14ac:dyDescent="0.25">
      <c r="A47">
        <v>0.5</v>
      </c>
      <c r="B47">
        <f t="shared" ref="B47:B54" si="5">8-B$45*0.5-$A47*0.25</f>
        <v>7.875</v>
      </c>
      <c r="C47">
        <f t="shared" si="4"/>
        <v>7.625</v>
      </c>
      <c r="D47">
        <f t="shared" si="4"/>
        <v>7.375</v>
      </c>
      <c r="E47">
        <f t="shared" si="4"/>
        <v>7.125</v>
      </c>
      <c r="F47">
        <f t="shared" si="4"/>
        <v>6.875</v>
      </c>
      <c r="G47">
        <f t="shared" si="4"/>
        <v>6.625</v>
      </c>
      <c r="H47">
        <f t="shared" si="4"/>
        <v>6.375</v>
      </c>
      <c r="I47">
        <f t="shared" si="4"/>
        <v>6.125</v>
      </c>
      <c r="J47">
        <f t="shared" si="4"/>
        <v>5.875</v>
      </c>
    </row>
    <row r="48" spans="1:10" x14ac:dyDescent="0.25">
      <c r="A48">
        <v>1</v>
      </c>
      <c r="B48">
        <f t="shared" si="5"/>
        <v>7.75</v>
      </c>
      <c r="C48">
        <f t="shared" si="4"/>
        <v>7.5</v>
      </c>
      <c r="D48">
        <f t="shared" si="4"/>
        <v>7.25</v>
      </c>
      <c r="E48">
        <f t="shared" si="4"/>
        <v>7</v>
      </c>
      <c r="F48">
        <f t="shared" si="4"/>
        <v>6.75</v>
      </c>
      <c r="G48">
        <f t="shared" si="4"/>
        <v>6.5</v>
      </c>
      <c r="H48">
        <f t="shared" si="4"/>
        <v>6.25</v>
      </c>
      <c r="I48">
        <f t="shared" si="4"/>
        <v>6</v>
      </c>
      <c r="J48">
        <f t="shared" si="4"/>
        <v>5.75</v>
      </c>
    </row>
    <row r="49" spans="1:10" x14ac:dyDescent="0.25">
      <c r="A49">
        <v>1.5</v>
      </c>
      <c r="B49">
        <f t="shared" si="5"/>
        <v>7.625</v>
      </c>
      <c r="C49">
        <f t="shared" si="4"/>
        <v>7.375</v>
      </c>
      <c r="D49">
        <f t="shared" si="4"/>
        <v>7.125</v>
      </c>
      <c r="E49">
        <f t="shared" si="4"/>
        <v>6.875</v>
      </c>
      <c r="F49">
        <f t="shared" si="4"/>
        <v>6.625</v>
      </c>
      <c r="G49">
        <f t="shared" si="4"/>
        <v>6.375</v>
      </c>
      <c r="H49">
        <f t="shared" si="4"/>
        <v>6.125</v>
      </c>
      <c r="I49">
        <f t="shared" si="4"/>
        <v>5.875</v>
      </c>
      <c r="J49">
        <f t="shared" si="4"/>
        <v>5.625</v>
      </c>
    </row>
    <row r="50" spans="1:10" x14ac:dyDescent="0.25">
      <c r="A50">
        <v>2</v>
      </c>
      <c r="B50">
        <f t="shared" si="5"/>
        <v>7.5</v>
      </c>
      <c r="C50">
        <f t="shared" si="4"/>
        <v>7.25</v>
      </c>
      <c r="D50">
        <f t="shared" si="4"/>
        <v>7</v>
      </c>
      <c r="E50">
        <f t="shared" si="4"/>
        <v>6.75</v>
      </c>
      <c r="F50">
        <f t="shared" si="4"/>
        <v>6.5</v>
      </c>
      <c r="G50">
        <f t="shared" si="4"/>
        <v>6.25</v>
      </c>
      <c r="H50">
        <f t="shared" si="4"/>
        <v>6</v>
      </c>
      <c r="I50">
        <f t="shared" si="4"/>
        <v>5.75</v>
      </c>
      <c r="J50">
        <f t="shared" si="4"/>
        <v>5.5</v>
      </c>
    </row>
    <row r="51" spans="1:10" x14ac:dyDescent="0.25">
      <c r="A51">
        <v>2.5</v>
      </c>
      <c r="B51">
        <f t="shared" si="5"/>
        <v>7.375</v>
      </c>
      <c r="C51">
        <f t="shared" si="4"/>
        <v>7.125</v>
      </c>
      <c r="D51">
        <f t="shared" si="4"/>
        <v>6.875</v>
      </c>
      <c r="E51">
        <f t="shared" si="4"/>
        <v>6.625</v>
      </c>
      <c r="F51">
        <f t="shared" si="4"/>
        <v>6.375</v>
      </c>
      <c r="G51">
        <f t="shared" si="4"/>
        <v>6.125</v>
      </c>
      <c r="H51">
        <f t="shared" si="4"/>
        <v>5.875</v>
      </c>
      <c r="I51">
        <f t="shared" si="4"/>
        <v>5.625</v>
      </c>
      <c r="J51">
        <f t="shared" si="4"/>
        <v>5.375</v>
      </c>
    </row>
    <row r="52" spans="1:10" x14ac:dyDescent="0.25">
      <c r="A52">
        <v>3</v>
      </c>
      <c r="B52">
        <f t="shared" si="5"/>
        <v>7.25</v>
      </c>
      <c r="C52">
        <f t="shared" si="4"/>
        <v>7</v>
      </c>
      <c r="D52">
        <f t="shared" si="4"/>
        <v>6.75</v>
      </c>
      <c r="E52">
        <f t="shared" si="4"/>
        <v>6.5</v>
      </c>
      <c r="F52">
        <f t="shared" si="4"/>
        <v>6.25</v>
      </c>
      <c r="G52">
        <f t="shared" si="4"/>
        <v>6</v>
      </c>
      <c r="H52">
        <f t="shared" si="4"/>
        <v>5.75</v>
      </c>
      <c r="I52">
        <f t="shared" si="4"/>
        <v>5.5</v>
      </c>
      <c r="J52">
        <f t="shared" si="4"/>
        <v>5.25</v>
      </c>
    </row>
    <row r="53" spans="1:10" x14ac:dyDescent="0.25">
      <c r="A53">
        <v>3.5</v>
      </c>
      <c r="B53">
        <f t="shared" si="5"/>
        <v>7.125</v>
      </c>
      <c r="C53">
        <f t="shared" si="4"/>
        <v>6.875</v>
      </c>
      <c r="D53">
        <f t="shared" si="4"/>
        <v>6.625</v>
      </c>
      <c r="E53">
        <f t="shared" si="4"/>
        <v>6.375</v>
      </c>
      <c r="F53">
        <f t="shared" si="4"/>
        <v>6.125</v>
      </c>
      <c r="G53">
        <f t="shared" si="4"/>
        <v>5.875</v>
      </c>
      <c r="H53">
        <f t="shared" si="4"/>
        <v>5.625</v>
      </c>
      <c r="I53">
        <f t="shared" si="4"/>
        <v>5.375</v>
      </c>
      <c r="J53">
        <f t="shared" si="4"/>
        <v>5.125</v>
      </c>
    </row>
    <row r="54" spans="1:10" x14ac:dyDescent="0.25">
      <c r="A54">
        <v>4</v>
      </c>
      <c r="B54">
        <f t="shared" si="5"/>
        <v>7</v>
      </c>
      <c r="C54">
        <f t="shared" si="4"/>
        <v>6.75</v>
      </c>
      <c r="D54">
        <f t="shared" si="4"/>
        <v>6.5</v>
      </c>
      <c r="E54">
        <f t="shared" si="4"/>
        <v>6.25</v>
      </c>
      <c r="F54">
        <f t="shared" si="4"/>
        <v>6</v>
      </c>
      <c r="G54">
        <f t="shared" si="4"/>
        <v>5.75</v>
      </c>
      <c r="H54">
        <f t="shared" si="4"/>
        <v>5.5</v>
      </c>
      <c r="I54">
        <f t="shared" si="4"/>
        <v>5.25</v>
      </c>
      <c r="J54">
        <f t="shared" si="4"/>
        <v>5</v>
      </c>
    </row>
  </sheetData>
  <mergeCells count="6">
    <mergeCell ref="A13:E13"/>
    <mergeCell ref="A1:A2"/>
    <mergeCell ref="B1:D1"/>
    <mergeCell ref="E1:E2"/>
    <mergeCell ref="A7:E7"/>
    <mergeCell ref="A11:B1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16"/>
  <sheetViews>
    <sheetView workbookViewId="0"/>
  </sheetViews>
  <sheetFormatPr defaultRowHeight="15" x14ac:dyDescent="0.25"/>
  <cols>
    <col min="1" max="1" width="13.28515625" customWidth="1"/>
    <col min="5" max="6" width="9.28515625" customWidth="1"/>
    <col min="7" max="7" width="14" customWidth="1"/>
  </cols>
  <sheetData>
    <row r="1" spans="1:7" ht="15" customHeight="1" x14ac:dyDescent="0.25">
      <c r="B1" s="57" t="s">
        <v>16</v>
      </c>
      <c r="C1" s="58"/>
      <c r="D1" s="58"/>
      <c r="E1" s="58"/>
      <c r="F1" s="59"/>
      <c r="G1" s="55" t="s">
        <v>15</v>
      </c>
    </row>
    <row r="2" spans="1:7" ht="15.75" thickBot="1" x14ac:dyDescent="0.3">
      <c r="B2" s="60"/>
      <c r="C2" s="61"/>
      <c r="D2" s="61"/>
      <c r="E2" s="61"/>
      <c r="F2" s="62"/>
      <c r="G2" s="56"/>
    </row>
    <row r="3" spans="1:7" x14ac:dyDescent="0.25">
      <c r="B3" s="14">
        <v>5</v>
      </c>
      <c r="C3" s="14">
        <v>9</v>
      </c>
      <c r="D3" s="14">
        <v>3</v>
      </c>
      <c r="E3" s="14">
        <v>10</v>
      </c>
      <c r="F3" s="14">
        <v>0.75</v>
      </c>
      <c r="G3" s="16">
        <v>10</v>
      </c>
    </row>
    <row r="4" spans="1:7" x14ac:dyDescent="0.25">
      <c r="B4" s="13">
        <v>3</v>
      </c>
      <c r="C4" s="13">
        <v>10</v>
      </c>
      <c r="D4" s="13">
        <v>5</v>
      </c>
      <c r="E4" s="13">
        <v>9</v>
      </c>
      <c r="F4" s="13">
        <v>0.75</v>
      </c>
      <c r="G4" s="15">
        <v>35</v>
      </c>
    </row>
    <row r="5" spans="1:7" x14ac:dyDescent="0.25">
      <c r="B5" s="13">
        <v>7</v>
      </c>
      <c r="C5" s="13">
        <v>2</v>
      </c>
      <c r="D5" s="13">
        <v>3</v>
      </c>
      <c r="E5" s="13">
        <v>8</v>
      </c>
      <c r="F5" s="13">
        <v>0.75</v>
      </c>
      <c r="G5" s="15">
        <v>20</v>
      </c>
    </row>
    <row r="6" spans="1:7" x14ac:dyDescent="0.25">
      <c r="B6" s="13">
        <v>8</v>
      </c>
      <c r="C6" s="13">
        <v>5</v>
      </c>
      <c r="D6" s="13">
        <v>11</v>
      </c>
      <c r="E6" s="13">
        <v>2</v>
      </c>
      <c r="F6" s="13">
        <v>0.75</v>
      </c>
      <c r="G6" s="15">
        <v>32</v>
      </c>
    </row>
    <row r="7" spans="1:7" ht="15.75" thickBot="1" x14ac:dyDescent="0.3">
      <c r="B7" s="13">
        <v>5</v>
      </c>
      <c r="C7" s="13">
        <v>9</v>
      </c>
      <c r="D7" s="13">
        <v>10</v>
      </c>
      <c r="E7" s="13">
        <v>5</v>
      </c>
      <c r="F7" s="13">
        <v>0.75</v>
      </c>
      <c r="G7" s="15">
        <v>20</v>
      </c>
    </row>
    <row r="8" spans="1:7" ht="31.5" customHeight="1" thickBot="1" x14ac:dyDescent="0.3">
      <c r="A8" s="17" t="s">
        <v>15</v>
      </c>
      <c r="B8" s="15">
        <v>50</v>
      </c>
      <c r="C8" s="13">
        <v>10</v>
      </c>
      <c r="D8" s="13">
        <v>30</v>
      </c>
      <c r="E8" s="13">
        <v>10</v>
      </c>
      <c r="F8" s="13">
        <f>ABS(SUM(G3:G7)-SUM(B8:E8))</f>
        <v>17</v>
      </c>
    </row>
    <row r="9" spans="1:7" ht="15.75" thickBot="1" x14ac:dyDescent="0.3"/>
    <row r="10" spans="1:7" ht="15.75" thickBot="1" x14ac:dyDescent="0.3">
      <c r="B10" s="63" t="s">
        <v>17</v>
      </c>
      <c r="C10" s="64"/>
      <c r="D10" s="64"/>
      <c r="E10" s="64"/>
      <c r="F10" s="65"/>
    </row>
    <row r="11" spans="1:7" ht="15.75" thickBot="1" x14ac:dyDescent="0.3">
      <c r="B11" s="6">
        <v>0</v>
      </c>
      <c r="C11" s="18">
        <v>0</v>
      </c>
      <c r="D11" s="18">
        <v>10</v>
      </c>
      <c r="E11" s="18">
        <v>0</v>
      </c>
      <c r="F11" s="7">
        <v>0</v>
      </c>
      <c r="G11" s="11">
        <f t="shared" ref="G11:G14" si="0">SUM(B11:F11)</f>
        <v>10</v>
      </c>
    </row>
    <row r="12" spans="1:7" ht="15.75" thickBot="1" x14ac:dyDescent="0.3">
      <c r="B12" s="19">
        <v>35</v>
      </c>
      <c r="C12" s="20">
        <v>0</v>
      </c>
      <c r="D12" s="20">
        <v>0</v>
      </c>
      <c r="E12" s="20">
        <v>0</v>
      </c>
      <c r="F12" s="21">
        <v>0</v>
      </c>
      <c r="G12" s="11">
        <f t="shared" si="0"/>
        <v>35</v>
      </c>
    </row>
    <row r="13" spans="1:7" ht="15.75" thickBot="1" x14ac:dyDescent="0.3">
      <c r="B13" s="19">
        <v>0</v>
      </c>
      <c r="C13" s="20">
        <v>0</v>
      </c>
      <c r="D13" s="20">
        <v>20</v>
      </c>
      <c r="E13" s="20">
        <v>0</v>
      </c>
      <c r="F13" s="21">
        <v>0</v>
      </c>
      <c r="G13" s="11">
        <f t="shared" si="0"/>
        <v>20</v>
      </c>
    </row>
    <row r="14" spans="1:7" ht="15.75" thickBot="1" x14ac:dyDescent="0.3">
      <c r="B14" s="19">
        <v>0</v>
      </c>
      <c r="C14" s="20">
        <v>10</v>
      </c>
      <c r="D14" s="20">
        <v>0</v>
      </c>
      <c r="E14" s="20">
        <v>10</v>
      </c>
      <c r="F14" s="21">
        <v>12</v>
      </c>
      <c r="G14" s="11">
        <f t="shared" si="0"/>
        <v>32</v>
      </c>
    </row>
    <row r="15" spans="1:7" ht="15.75" thickBot="1" x14ac:dyDescent="0.3">
      <c r="B15" s="8">
        <v>15</v>
      </c>
      <c r="C15" s="9">
        <v>0</v>
      </c>
      <c r="D15" s="9">
        <v>0</v>
      </c>
      <c r="E15" s="9">
        <v>0</v>
      </c>
      <c r="F15" s="10">
        <v>5</v>
      </c>
      <c r="G15" s="11">
        <f>SUM(B15:F15)</f>
        <v>20</v>
      </c>
    </row>
    <row r="16" spans="1:7" ht="15.75" thickBot="1" x14ac:dyDescent="0.3">
      <c r="B16" s="23">
        <f t="shared" ref="B16:E16" si="1">SUM(B11:B15)</f>
        <v>50</v>
      </c>
      <c r="C16" s="23">
        <f t="shared" si="1"/>
        <v>10</v>
      </c>
      <c r="D16" s="23">
        <f t="shared" si="1"/>
        <v>30</v>
      </c>
      <c r="E16" s="23">
        <f t="shared" si="1"/>
        <v>10</v>
      </c>
      <c r="F16" s="23">
        <f>SUM(F11:F15)</f>
        <v>17</v>
      </c>
      <c r="G16" s="22">
        <f>SUMPRODUCT(B3:F7,B11:F15)</f>
        <v>352.75</v>
      </c>
    </row>
  </sheetData>
  <mergeCells count="3">
    <mergeCell ref="G1:G2"/>
    <mergeCell ref="B1:F2"/>
    <mergeCell ref="B10:F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6"/>
  <sheetViews>
    <sheetView workbookViewId="0">
      <selection activeCell="F16" sqref="F16"/>
    </sheetView>
  </sheetViews>
  <sheetFormatPr defaultRowHeight="15" x14ac:dyDescent="0.25"/>
  <sheetData>
    <row r="1" spans="1:6" ht="15.75" thickBot="1" x14ac:dyDescent="0.3">
      <c r="B1" s="47" t="s">
        <v>20</v>
      </c>
      <c r="C1" s="48"/>
      <c r="D1" s="48"/>
      <c r="E1" s="49"/>
    </row>
    <row r="2" spans="1:6" ht="15" customHeight="1" x14ac:dyDescent="0.25">
      <c r="A2" s="66" t="s">
        <v>19</v>
      </c>
      <c r="B2" s="18">
        <v>5</v>
      </c>
      <c r="C2" s="18">
        <v>12</v>
      </c>
      <c r="D2" s="18">
        <v>2</v>
      </c>
      <c r="E2" s="7">
        <v>7</v>
      </c>
      <c r="F2" s="24">
        <v>1</v>
      </c>
    </row>
    <row r="3" spans="1:6" x14ac:dyDescent="0.25">
      <c r="A3" s="67"/>
      <c r="B3" s="20">
        <v>10</v>
      </c>
      <c r="C3" s="20">
        <v>9</v>
      </c>
      <c r="D3" s="20">
        <v>7</v>
      </c>
      <c r="E3" s="21">
        <v>12</v>
      </c>
      <c r="F3" s="24">
        <v>1</v>
      </c>
    </row>
    <row r="4" spans="1:6" x14ac:dyDescent="0.25">
      <c r="A4" s="67"/>
      <c r="B4" s="20">
        <v>7</v>
      </c>
      <c r="C4" s="20">
        <v>8</v>
      </c>
      <c r="D4" s="20">
        <v>11</v>
      </c>
      <c r="E4" s="21">
        <v>9</v>
      </c>
      <c r="F4" s="24">
        <v>1</v>
      </c>
    </row>
    <row r="5" spans="1:6" x14ac:dyDescent="0.25">
      <c r="A5" s="67"/>
      <c r="B5" s="20">
        <v>2</v>
      </c>
      <c r="C5" s="20">
        <v>10</v>
      </c>
      <c r="D5" s="20">
        <v>9</v>
      </c>
      <c r="E5" s="21">
        <v>13</v>
      </c>
      <c r="F5" s="24">
        <v>1</v>
      </c>
    </row>
    <row r="6" spans="1:6" x14ac:dyDescent="0.25">
      <c r="A6" s="67"/>
      <c r="B6" s="20">
        <v>12</v>
      </c>
      <c r="C6" s="20">
        <v>7</v>
      </c>
      <c r="D6" s="20">
        <v>8</v>
      </c>
      <c r="E6" s="21">
        <v>3</v>
      </c>
      <c r="F6" s="24">
        <v>1</v>
      </c>
    </row>
    <row r="7" spans="1:6" ht="15.75" thickBot="1" x14ac:dyDescent="0.3">
      <c r="A7" s="68"/>
      <c r="B7" s="25">
        <v>500</v>
      </c>
      <c r="C7" s="26">
        <v>500</v>
      </c>
      <c r="D7" s="26">
        <v>500</v>
      </c>
      <c r="E7" s="27">
        <v>500</v>
      </c>
      <c r="F7" s="24">
        <v>1</v>
      </c>
    </row>
    <row r="8" spans="1:6" ht="15.75" thickBot="1" x14ac:dyDescent="0.3">
      <c r="B8" s="47" t="s">
        <v>18</v>
      </c>
      <c r="C8" s="48"/>
      <c r="D8" s="48"/>
      <c r="E8" s="49"/>
    </row>
    <row r="9" spans="1:6" ht="15.75" thickBot="1" x14ac:dyDescent="0.3">
      <c r="B9" s="24">
        <v>1</v>
      </c>
      <c r="C9" s="24">
        <v>1</v>
      </c>
      <c r="D9" s="24">
        <v>1</v>
      </c>
      <c r="E9" s="24">
        <v>1</v>
      </c>
    </row>
    <row r="10" spans="1:6" ht="15.75" thickBot="1" x14ac:dyDescent="0.3">
      <c r="B10" s="6">
        <v>1</v>
      </c>
      <c r="C10" s="18">
        <v>0</v>
      </c>
      <c r="D10" s="18">
        <v>0</v>
      </c>
      <c r="E10" s="7">
        <v>0</v>
      </c>
      <c r="F10" s="29">
        <f>SUM(B10:E10)</f>
        <v>1</v>
      </c>
    </row>
    <row r="11" spans="1:6" ht="15.75" thickBot="1" x14ac:dyDescent="0.3">
      <c r="B11" s="19">
        <v>0</v>
      </c>
      <c r="C11" s="20">
        <v>1</v>
      </c>
      <c r="D11" s="20">
        <v>0</v>
      </c>
      <c r="E11" s="21">
        <v>0</v>
      </c>
      <c r="F11" s="29">
        <f t="shared" ref="F11:F15" si="0">SUM(B11:E11)</f>
        <v>1</v>
      </c>
    </row>
    <row r="12" spans="1:6" ht="15.75" thickBot="1" x14ac:dyDescent="0.3">
      <c r="B12" s="19">
        <v>0</v>
      </c>
      <c r="C12" s="20">
        <v>0</v>
      </c>
      <c r="D12" s="20">
        <v>0</v>
      </c>
      <c r="E12" s="21">
        <v>0</v>
      </c>
      <c r="F12" s="29">
        <f t="shared" si="0"/>
        <v>0</v>
      </c>
    </row>
    <row r="13" spans="1:6" ht="15.75" thickBot="1" x14ac:dyDescent="0.3">
      <c r="B13" s="19">
        <v>0</v>
      </c>
      <c r="C13" s="20">
        <v>0</v>
      </c>
      <c r="D13" s="20">
        <v>0</v>
      </c>
      <c r="E13" s="21">
        <v>0</v>
      </c>
      <c r="F13" s="29">
        <f t="shared" si="0"/>
        <v>0</v>
      </c>
    </row>
    <row r="14" spans="1:6" ht="15.75" thickBot="1" x14ac:dyDescent="0.3">
      <c r="B14" s="19">
        <v>0</v>
      </c>
      <c r="C14" s="20">
        <v>0</v>
      </c>
      <c r="D14" s="20">
        <v>0</v>
      </c>
      <c r="E14" s="21">
        <v>1</v>
      </c>
      <c r="F14" s="29">
        <f t="shared" si="0"/>
        <v>1</v>
      </c>
    </row>
    <row r="15" spans="1:6" ht="15.75" thickBot="1" x14ac:dyDescent="0.3">
      <c r="B15" s="8">
        <v>0</v>
      </c>
      <c r="C15" s="9">
        <v>0</v>
      </c>
      <c r="D15" s="9">
        <v>1</v>
      </c>
      <c r="E15" s="10">
        <v>0</v>
      </c>
      <c r="F15" s="29">
        <f t="shared" si="0"/>
        <v>1</v>
      </c>
    </row>
    <row r="16" spans="1:6" ht="15.75" thickBot="1" x14ac:dyDescent="0.3">
      <c r="B16" s="11">
        <f>SUM(B10:B15)</f>
        <v>1</v>
      </c>
      <c r="C16" s="11">
        <f t="shared" ref="C16:E16" si="1">SUM(C10:C15)</f>
        <v>1</v>
      </c>
      <c r="D16" s="11">
        <f t="shared" si="1"/>
        <v>1</v>
      </c>
      <c r="E16" s="11">
        <f t="shared" si="1"/>
        <v>1</v>
      </c>
      <c r="F16" s="28">
        <f>SUMPRODUCT(B10:E15,B2:E7)-500</f>
        <v>17</v>
      </c>
    </row>
  </sheetData>
  <mergeCells count="3">
    <mergeCell ref="B1:E1"/>
    <mergeCell ref="B8:E8"/>
    <mergeCell ref="A2:A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T31"/>
  <sheetViews>
    <sheetView workbookViewId="0">
      <selection activeCell="J13" sqref="J13"/>
    </sheetView>
  </sheetViews>
  <sheetFormatPr defaultRowHeight="15" x14ac:dyDescent="0.25"/>
  <sheetData>
    <row r="1" spans="1:10" ht="15.75" thickBot="1" x14ac:dyDescent="0.3">
      <c r="A1" s="47" t="s">
        <v>26</v>
      </c>
      <c r="B1" s="49"/>
      <c r="G1" s="47" t="s">
        <v>25</v>
      </c>
      <c r="H1" s="49"/>
    </row>
    <row r="2" spans="1:10" ht="15.75" thickBot="1" x14ac:dyDescent="0.3">
      <c r="A2" s="11" t="s">
        <v>10</v>
      </c>
      <c r="B2" s="11" t="s">
        <v>11</v>
      </c>
      <c r="G2" s="11" t="s">
        <v>10</v>
      </c>
      <c r="H2" s="11" t="s">
        <v>11</v>
      </c>
    </row>
    <row r="3" spans="1:10" x14ac:dyDescent="0.25">
      <c r="A3">
        <v>-1.7957075053869087</v>
      </c>
      <c r="B3">
        <v>0.94138383343479304</v>
      </c>
      <c r="C3" s="30">
        <f>(A3^2+2*B3^2-5)^2+(2*A3+7*B3-3)^2</f>
        <v>1.215242004186016E-5</v>
      </c>
      <c r="G3">
        <v>2.2170364292420244</v>
      </c>
      <c r="H3">
        <v>-0.20476493693164524</v>
      </c>
      <c r="I3" s="31">
        <f>(G3^2+2*H3^2-5)^2+(2*G3+7*H3-3)^2</f>
        <v>1.3118197638875638E-6</v>
      </c>
    </row>
    <row r="6" spans="1:10" ht="15.75" thickBot="1" x14ac:dyDescent="0.3"/>
    <row r="7" spans="1:10" ht="15.75" thickBot="1" x14ac:dyDescent="0.3">
      <c r="A7" s="47" t="s">
        <v>21</v>
      </c>
      <c r="B7" s="48"/>
      <c r="C7" s="48"/>
      <c r="D7" s="49"/>
      <c r="F7" s="47" t="s">
        <v>22</v>
      </c>
      <c r="G7" s="49"/>
      <c r="I7" t="s">
        <v>23</v>
      </c>
      <c r="J7" t="s">
        <v>24</v>
      </c>
    </row>
    <row r="8" spans="1:10" x14ac:dyDescent="0.25">
      <c r="B8" t="s">
        <v>10</v>
      </c>
      <c r="C8" t="s">
        <v>11</v>
      </c>
      <c r="F8" t="s">
        <v>10</v>
      </c>
      <c r="G8" t="s">
        <v>11</v>
      </c>
      <c r="I8">
        <f>SQRT(5)</f>
        <v>2.2360679774997898</v>
      </c>
      <c r="J8">
        <f>SQRT(5/2)</f>
        <v>1.5811388300841898</v>
      </c>
    </row>
    <row r="9" spans="1:10" x14ac:dyDescent="0.25">
      <c r="A9">
        <v>0</v>
      </c>
      <c r="B9">
        <f>$I$8*COS(A9)</f>
        <v>2.2360679774997898</v>
      </c>
      <c r="C9">
        <f>$J$8*SIN(A9)</f>
        <v>0</v>
      </c>
      <c r="F9">
        <v>-4</v>
      </c>
      <c r="G9">
        <f>(3-2*F9)/7</f>
        <v>1.5714285714285714</v>
      </c>
    </row>
    <row r="10" spans="1:10" x14ac:dyDescent="0.25">
      <c r="A10">
        <f>A9+PI()/10</f>
        <v>0.31415926535897931</v>
      </c>
      <c r="B10">
        <f t="shared" ref="B10:B31" si="0">$I$8*COS(A10)</f>
        <v>2.1266270208800999</v>
      </c>
      <c r="C10">
        <f t="shared" ref="C10:C15" si="1">$J$8*SIN(A10)</f>
        <v>0.488598768962137</v>
      </c>
      <c r="F10">
        <v>-3.5</v>
      </c>
      <c r="G10">
        <f t="shared" ref="G10:G25" si="2">(3-2*F10)/7</f>
        <v>1.4285714285714286</v>
      </c>
    </row>
    <row r="11" spans="1:10" x14ac:dyDescent="0.25">
      <c r="A11">
        <f t="shared" ref="A11:A15" si="3">A10+PI()/10</f>
        <v>0.62831853071795862</v>
      </c>
      <c r="B11">
        <f t="shared" si="0"/>
        <v>1.8090169943749477</v>
      </c>
      <c r="C11">
        <f t="shared" si="1"/>
        <v>0.92937008615046124</v>
      </c>
      <c r="F11">
        <v>-3</v>
      </c>
      <c r="G11">
        <f t="shared" si="2"/>
        <v>1.2857142857142858</v>
      </c>
    </row>
    <row r="12" spans="1:10" x14ac:dyDescent="0.25">
      <c r="A12">
        <f t="shared" si="3"/>
        <v>0.94247779607693793</v>
      </c>
      <c r="B12">
        <f t="shared" si="0"/>
        <v>1.3143277802978341</v>
      </c>
      <c r="C12">
        <f t="shared" si="1"/>
        <v>1.2791681840042319</v>
      </c>
      <c r="F12">
        <v>-2.5</v>
      </c>
      <c r="G12">
        <f t="shared" si="2"/>
        <v>1.1428571428571428</v>
      </c>
    </row>
    <row r="13" spans="1:10" x14ac:dyDescent="0.25">
      <c r="A13">
        <f t="shared" si="3"/>
        <v>1.2566370614359172</v>
      </c>
      <c r="B13">
        <f t="shared" si="0"/>
        <v>0.69098300562505266</v>
      </c>
      <c r="C13">
        <f t="shared" si="1"/>
        <v>1.5037523875188643</v>
      </c>
      <c r="F13">
        <v>-2</v>
      </c>
      <c r="G13">
        <f t="shared" si="2"/>
        <v>1</v>
      </c>
    </row>
    <row r="14" spans="1:10" x14ac:dyDescent="0.25">
      <c r="A14">
        <f t="shared" si="3"/>
        <v>1.5707963267948966</v>
      </c>
      <c r="B14">
        <f t="shared" si="0"/>
        <v>1.3697576138522551E-16</v>
      </c>
      <c r="C14">
        <f t="shared" si="1"/>
        <v>1.5811388300841898</v>
      </c>
      <c r="F14">
        <v>-1.5</v>
      </c>
      <c r="G14">
        <f t="shared" si="2"/>
        <v>0.8571428571428571</v>
      </c>
    </row>
    <row r="15" spans="1:10" x14ac:dyDescent="0.25">
      <c r="A15">
        <f t="shared" si="3"/>
        <v>1.8849555921538759</v>
      </c>
      <c r="B15">
        <f t="shared" si="0"/>
        <v>-0.69098300562505244</v>
      </c>
      <c r="C15">
        <f t="shared" si="1"/>
        <v>1.5037523875188643</v>
      </c>
      <c r="F15">
        <v>-1</v>
      </c>
      <c r="G15">
        <f t="shared" si="2"/>
        <v>0.7142857142857143</v>
      </c>
    </row>
    <row r="16" spans="1:10" x14ac:dyDescent="0.25">
      <c r="A16">
        <f t="shared" ref="A16:A24" si="4">A15+PI()/10</f>
        <v>2.1991148575128552</v>
      </c>
      <c r="B16">
        <f t="shared" si="0"/>
        <v>-1.3143277802978339</v>
      </c>
      <c r="C16">
        <f t="shared" ref="C16:C24" si="5">$J$8*SIN(A16)</f>
        <v>1.2791681840042319</v>
      </c>
      <c r="F16">
        <v>-0.5</v>
      </c>
      <c r="G16">
        <f t="shared" si="2"/>
        <v>0.5714285714285714</v>
      </c>
    </row>
    <row r="17" spans="1:20" x14ac:dyDescent="0.25">
      <c r="A17">
        <f t="shared" si="4"/>
        <v>2.5132741228718345</v>
      </c>
      <c r="B17">
        <f t="shared" si="0"/>
        <v>-1.8090169943749472</v>
      </c>
      <c r="C17">
        <f t="shared" si="5"/>
        <v>0.92937008615046146</v>
      </c>
      <c r="F17">
        <v>0</v>
      </c>
      <c r="G17">
        <f t="shared" si="2"/>
        <v>0.42857142857142855</v>
      </c>
      <c r="T17" t="s">
        <v>34</v>
      </c>
    </row>
    <row r="18" spans="1:20" x14ac:dyDescent="0.25">
      <c r="A18">
        <f t="shared" si="4"/>
        <v>2.8274333882308138</v>
      </c>
      <c r="B18">
        <f t="shared" si="0"/>
        <v>-2.1266270208800999</v>
      </c>
      <c r="C18">
        <f t="shared" si="5"/>
        <v>0.48859876896213716</v>
      </c>
      <c r="F18">
        <v>0.5</v>
      </c>
      <c r="G18">
        <f t="shared" si="2"/>
        <v>0.2857142857142857</v>
      </c>
    </row>
    <row r="19" spans="1:20" x14ac:dyDescent="0.25">
      <c r="A19">
        <f t="shared" si="4"/>
        <v>3.1415926535897931</v>
      </c>
      <c r="B19">
        <f t="shared" si="0"/>
        <v>-2.2360679774997898</v>
      </c>
      <c r="C19">
        <f t="shared" si="5"/>
        <v>1.9371297946736681E-16</v>
      </c>
      <c r="F19">
        <v>1</v>
      </c>
      <c r="G19">
        <f t="shared" si="2"/>
        <v>0.14285714285714285</v>
      </c>
    </row>
    <row r="20" spans="1:20" x14ac:dyDescent="0.25">
      <c r="A20">
        <f t="shared" si="4"/>
        <v>3.4557519189487724</v>
      </c>
      <c r="B20">
        <f t="shared" si="0"/>
        <v>-2.1266270208800999</v>
      </c>
      <c r="C20">
        <f t="shared" si="5"/>
        <v>-0.48859876896213678</v>
      </c>
      <c r="F20">
        <v>1.5</v>
      </c>
      <c r="G20">
        <f t="shared" si="2"/>
        <v>0</v>
      </c>
    </row>
    <row r="21" spans="1:20" x14ac:dyDescent="0.25">
      <c r="A21">
        <f t="shared" si="4"/>
        <v>3.7699111843077517</v>
      </c>
      <c r="B21">
        <f t="shared" si="0"/>
        <v>-1.8090169943749479</v>
      </c>
      <c r="C21">
        <f t="shared" si="5"/>
        <v>-0.92937008615046113</v>
      </c>
      <c r="F21">
        <v>2</v>
      </c>
      <c r="G21">
        <f t="shared" si="2"/>
        <v>-0.14285714285714285</v>
      </c>
    </row>
    <row r="22" spans="1:20" x14ac:dyDescent="0.25">
      <c r="A22">
        <f t="shared" si="4"/>
        <v>4.0840704496667311</v>
      </c>
      <c r="B22">
        <f t="shared" si="0"/>
        <v>-1.3143277802978344</v>
      </c>
      <c r="C22">
        <f t="shared" si="5"/>
        <v>-1.2791681840042317</v>
      </c>
      <c r="F22">
        <v>2.5</v>
      </c>
      <c r="G22">
        <f t="shared" si="2"/>
        <v>-0.2857142857142857</v>
      </c>
    </row>
    <row r="23" spans="1:20" x14ac:dyDescent="0.25">
      <c r="A23">
        <f t="shared" si="4"/>
        <v>4.3982297150257104</v>
      </c>
      <c r="B23">
        <f t="shared" si="0"/>
        <v>-0.69098300562505288</v>
      </c>
      <c r="C23">
        <f t="shared" si="5"/>
        <v>-1.5037523875188643</v>
      </c>
      <c r="F23">
        <v>3</v>
      </c>
      <c r="G23">
        <f t="shared" si="2"/>
        <v>-0.42857142857142855</v>
      </c>
    </row>
    <row r="24" spans="1:20" x14ac:dyDescent="0.25">
      <c r="A24">
        <f t="shared" si="4"/>
        <v>4.7123889803846897</v>
      </c>
      <c r="B24">
        <f t="shared" si="0"/>
        <v>-4.1092728415567655E-16</v>
      </c>
      <c r="C24">
        <f t="shared" si="5"/>
        <v>-1.5811388300841898</v>
      </c>
      <c r="F24">
        <v>3.5</v>
      </c>
      <c r="G24">
        <f t="shared" si="2"/>
        <v>-0.5714285714285714</v>
      </c>
    </row>
    <row r="25" spans="1:20" x14ac:dyDescent="0.25">
      <c r="A25">
        <f t="shared" ref="A25:A31" si="6">A24+PI()/10</f>
        <v>5.026548245743669</v>
      </c>
      <c r="B25">
        <f t="shared" si="0"/>
        <v>0.69098300562505222</v>
      </c>
      <c r="C25">
        <f t="shared" ref="C25:C31" si="7">$J$8*SIN(A25)</f>
        <v>-1.5037523875188643</v>
      </c>
      <c r="F25">
        <v>4</v>
      </c>
      <c r="G25">
        <f t="shared" si="2"/>
        <v>-0.7142857142857143</v>
      </c>
    </row>
    <row r="26" spans="1:20" x14ac:dyDescent="0.25">
      <c r="A26">
        <f t="shared" si="6"/>
        <v>5.3407075111026483</v>
      </c>
      <c r="B26">
        <f t="shared" si="0"/>
        <v>1.3143277802978337</v>
      </c>
      <c r="C26">
        <f t="shared" si="7"/>
        <v>-1.2791681840042322</v>
      </c>
    </row>
    <row r="27" spans="1:20" x14ac:dyDescent="0.25">
      <c r="A27">
        <f t="shared" si="6"/>
        <v>5.6548667764616276</v>
      </c>
      <c r="B27">
        <f t="shared" si="0"/>
        <v>1.8090169943749472</v>
      </c>
      <c r="C27">
        <f t="shared" si="7"/>
        <v>-0.92937008615046168</v>
      </c>
    </row>
    <row r="28" spans="1:20" x14ac:dyDescent="0.25">
      <c r="A28">
        <f t="shared" si="6"/>
        <v>5.9690260418206069</v>
      </c>
      <c r="B28">
        <f t="shared" si="0"/>
        <v>2.1266270208800999</v>
      </c>
      <c r="C28">
        <f t="shared" si="7"/>
        <v>-0.48859876896213733</v>
      </c>
    </row>
    <row r="29" spans="1:20" x14ac:dyDescent="0.25">
      <c r="A29">
        <f t="shared" si="6"/>
        <v>6.2831853071795862</v>
      </c>
      <c r="B29">
        <f t="shared" si="0"/>
        <v>2.2360679774997898</v>
      </c>
      <c r="C29">
        <f t="shared" si="7"/>
        <v>-3.8742595893473363E-16</v>
      </c>
    </row>
    <row r="30" spans="1:20" x14ac:dyDescent="0.25">
      <c r="A30">
        <f t="shared" si="6"/>
        <v>6.5973445725385655</v>
      </c>
      <c r="B30">
        <f t="shared" si="0"/>
        <v>2.1266270208800999</v>
      </c>
      <c r="C30">
        <f t="shared" si="7"/>
        <v>0.48859876896213661</v>
      </c>
    </row>
    <row r="31" spans="1:20" x14ac:dyDescent="0.25">
      <c r="A31">
        <f t="shared" si="6"/>
        <v>6.9115038378975449</v>
      </c>
      <c r="B31">
        <f t="shared" si="0"/>
        <v>1.8090169943749479</v>
      </c>
      <c r="C31">
        <f t="shared" si="7"/>
        <v>0.92937008615046091</v>
      </c>
    </row>
  </sheetData>
  <mergeCells count="4">
    <mergeCell ref="A7:D7"/>
    <mergeCell ref="F7:G7"/>
    <mergeCell ref="G1:H1"/>
    <mergeCell ref="A1:B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F10"/>
  <sheetViews>
    <sheetView workbookViewId="0">
      <selection activeCell="F5" sqref="F5"/>
    </sheetView>
  </sheetViews>
  <sheetFormatPr defaultRowHeight="15" x14ac:dyDescent="0.25"/>
  <cols>
    <col min="1" max="1" width="24" customWidth="1"/>
    <col min="6" max="6" width="14.28515625" customWidth="1"/>
  </cols>
  <sheetData>
    <row r="1" spans="1:6" ht="15.75" thickBot="1" x14ac:dyDescent="0.3">
      <c r="A1" s="32" t="s">
        <v>27</v>
      </c>
      <c r="B1" s="33">
        <v>5</v>
      </c>
      <c r="C1" s="33">
        <v>20</v>
      </c>
      <c r="D1" s="33">
        <v>18</v>
      </c>
      <c r="E1" s="35" t="s">
        <v>28</v>
      </c>
      <c r="F1" s="36" t="s">
        <v>9</v>
      </c>
    </row>
    <row r="2" spans="1:6" x14ac:dyDescent="0.25">
      <c r="A2" t="s">
        <v>29</v>
      </c>
      <c r="B2">
        <v>2</v>
      </c>
      <c r="C2">
        <v>0</v>
      </c>
      <c r="D2">
        <v>1</v>
      </c>
      <c r="E2">
        <v>2</v>
      </c>
      <c r="F2">
        <v>150</v>
      </c>
    </row>
    <row r="3" spans="1:6" x14ac:dyDescent="0.25">
      <c r="A3" t="s">
        <v>30</v>
      </c>
      <c r="B3">
        <v>2</v>
      </c>
      <c r="C3">
        <v>1</v>
      </c>
      <c r="D3">
        <v>0</v>
      </c>
      <c r="E3">
        <v>0</v>
      </c>
      <c r="F3">
        <v>250</v>
      </c>
    </row>
    <row r="4" spans="1:6" x14ac:dyDescent="0.25">
      <c r="A4" t="s">
        <v>31</v>
      </c>
      <c r="B4">
        <v>6</v>
      </c>
      <c r="C4">
        <v>0</v>
      </c>
      <c r="D4">
        <v>0</v>
      </c>
      <c r="E4">
        <v>0</v>
      </c>
      <c r="F4">
        <v>0</v>
      </c>
    </row>
    <row r="5" spans="1:6" x14ac:dyDescent="0.25">
      <c r="A5" t="s">
        <v>32</v>
      </c>
      <c r="B5">
        <v>200</v>
      </c>
      <c r="C5">
        <v>250</v>
      </c>
      <c r="D5">
        <v>150</v>
      </c>
      <c r="F5">
        <f>E2*F2+E3*F3+E4*F4+5*(B2*F2+B3*F3+B4*F4-200)+20*(C2*F2+C3*F3+C4*F4-250)+18*(D2*F2+D3*F3+D4*F4-150)</f>
        <v>3300</v>
      </c>
    </row>
    <row r="6" spans="1:6" ht="15.75" thickBot="1" x14ac:dyDescent="0.3"/>
    <row r="7" spans="1:6" ht="15.75" thickBot="1" x14ac:dyDescent="0.3">
      <c r="F7" s="34" t="s">
        <v>33</v>
      </c>
    </row>
    <row r="8" spans="1:6" x14ac:dyDescent="0.25">
      <c r="F8">
        <f>B2*F2+B3*F3+B4*F4</f>
        <v>800</v>
      </c>
    </row>
    <row r="9" spans="1:6" x14ac:dyDescent="0.25">
      <c r="F9">
        <f>C2*F2+C3*F3+C4*F4</f>
        <v>250</v>
      </c>
    </row>
    <row r="10" spans="1:6" x14ac:dyDescent="0.25">
      <c r="F10">
        <f>D2*F2+D3*F3+D4*F4</f>
        <v>150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autoPict="0" r:id="rId4">
            <anchor moveWithCells="1">
              <from>
                <xdr:col>6</xdr:col>
                <xdr:colOff>600075</xdr:colOff>
                <xdr:row>0</xdr:row>
                <xdr:rowOff>9525</xdr:rowOff>
              </from>
              <to>
                <xdr:col>9</xdr:col>
                <xdr:colOff>542925</xdr:colOff>
                <xdr:row>4</xdr:row>
                <xdr:rowOff>19050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H14"/>
  <sheetViews>
    <sheetView tabSelected="1" topLeftCell="B10" workbookViewId="0">
      <selection activeCell="N24" sqref="N24"/>
    </sheetView>
  </sheetViews>
  <sheetFormatPr defaultRowHeight="15" x14ac:dyDescent="0.25"/>
  <cols>
    <col min="1" max="1" width="18.5703125" customWidth="1"/>
    <col min="8" max="8" width="10.140625" customWidth="1"/>
    <col min="10" max="10" width="12.5703125" customWidth="1"/>
  </cols>
  <sheetData>
    <row r="1" spans="1:8" ht="29.25" customHeight="1" thickBot="1" x14ac:dyDescent="0.3">
      <c r="A1" s="44" t="s">
        <v>36</v>
      </c>
      <c r="B1" s="11">
        <v>15</v>
      </c>
    </row>
    <row r="2" spans="1:8" ht="15.75" thickBot="1" x14ac:dyDescent="0.3">
      <c r="A2" s="41" t="s">
        <v>35</v>
      </c>
      <c r="B2" s="11">
        <v>26</v>
      </c>
      <c r="H2" s="45" t="s">
        <v>42</v>
      </c>
    </row>
    <row r="3" spans="1:8" ht="15.75" thickBot="1" x14ac:dyDescent="0.3">
      <c r="A3" s="41" t="s">
        <v>37</v>
      </c>
      <c r="B3" s="23">
        <v>8</v>
      </c>
      <c r="H3" s="39">
        <f t="array" ref="H3:H7">MMULT(B10:F14,TRANSPOSE(B7:F7))</f>
        <v>0</v>
      </c>
    </row>
    <row r="4" spans="1:8" ht="15.75" thickBot="1" x14ac:dyDescent="0.3">
      <c r="H4" s="40">
        <v>66.5</v>
      </c>
    </row>
    <row r="5" spans="1:8" ht="15.75" thickBot="1" x14ac:dyDescent="0.3">
      <c r="A5" s="42" t="s">
        <v>38</v>
      </c>
      <c r="B5" s="37">
        <v>0</v>
      </c>
      <c r="C5" s="38">
        <v>7</v>
      </c>
      <c r="D5" s="38">
        <v>14</v>
      </c>
      <c r="E5" s="38">
        <v>21</v>
      </c>
      <c r="F5" s="29">
        <v>28</v>
      </c>
      <c r="H5" s="40">
        <v>117.25000000000003</v>
      </c>
    </row>
    <row r="6" spans="1:8" ht="15.75" thickBot="1" x14ac:dyDescent="0.3">
      <c r="A6" s="42" t="s">
        <v>39</v>
      </c>
      <c r="B6" s="37">
        <v>4</v>
      </c>
      <c r="C6" s="38">
        <v>6</v>
      </c>
      <c r="D6" s="38">
        <v>17</v>
      </c>
      <c r="E6" s="38">
        <v>14</v>
      </c>
      <c r="F6" s="29">
        <v>7</v>
      </c>
      <c r="H6" s="40">
        <v>123.375</v>
      </c>
    </row>
    <row r="7" spans="1:8" ht="15.75" thickBot="1" x14ac:dyDescent="0.3">
      <c r="A7" s="42" t="s">
        <v>40</v>
      </c>
      <c r="B7" s="37">
        <f>B6/SUM($B$6:$F$6)</f>
        <v>8.3333333333333329E-2</v>
      </c>
      <c r="C7" s="38">
        <f>C6/SUM($B$6:$F$6)</f>
        <v>0.125</v>
      </c>
      <c r="D7" s="38">
        <f>D6/SUM($B$6:$F$6)</f>
        <v>0.35416666666666669</v>
      </c>
      <c r="E7" s="38">
        <f>E6/SUM($B$6:$F$6)</f>
        <v>0.29166666666666669</v>
      </c>
      <c r="F7" s="29">
        <f>F6/SUM($B$6:$F$6)</f>
        <v>0.14583333333333334</v>
      </c>
      <c r="H7" s="23">
        <v>92.750000000000014</v>
      </c>
    </row>
    <row r="8" spans="1:8" ht="15.75" thickBot="1" x14ac:dyDescent="0.3"/>
    <row r="9" spans="1:8" ht="15.75" thickBot="1" x14ac:dyDescent="0.3">
      <c r="A9" s="43" t="s">
        <v>41</v>
      </c>
      <c r="B9" s="13">
        <v>0</v>
      </c>
      <c r="C9" s="13">
        <v>7</v>
      </c>
      <c r="D9" s="13">
        <v>14</v>
      </c>
      <c r="E9" s="13">
        <v>21</v>
      </c>
      <c r="F9" s="13">
        <v>28</v>
      </c>
      <c r="H9" s="46">
        <f>(MATCH(LARGE(H3:H7,1),H3:H7,0)-1)*4</f>
        <v>12</v>
      </c>
    </row>
    <row r="10" spans="1:8" x14ac:dyDescent="0.25">
      <c r="A10" s="13">
        <v>0</v>
      </c>
      <c r="B10">
        <f t="array" ref="B10:F14">pow(A10:A14)</f>
        <v>0</v>
      </c>
      <c r="C10">
        <v>0</v>
      </c>
      <c r="D10">
        <v>0</v>
      </c>
      <c r="E10">
        <v>0</v>
      </c>
      <c r="F10">
        <v>0</v>
      </c>
    </row>
    <row r="11" spans="1:8" x14ac:dyDescent="0.25">
      <c r="A11" s="13">
        <v>7</v>
      </c>
      <c r="B11">
        <v>-49</v>
      </c>
      <c r="C11">
        <v>77</v>
      </c>
      <c r="D11">
        <v>77</v>
      </c>
      <c r="E11">
        <v>77</v>
      </c>
      <c r="F11">
        <v>77</v>
      </c>
    </row>
    <row r="12" spans="1:8" x14ac:dyDescent="0.25">
      <c r="A12" s="13">
        <v>14</v>
      </c>
      <c r="B12">
        <v>-98</v>
      </c>
      <c r="C12">
        <v>28</v>
      </c>
      <c r="D12">
        <v>154</v>
      </c>
      <c r="E12">
        <v>154</v>
      </c>
      <c r="F12">
        <v>154</v>
      </c>
    </row>
    <row r="13" spans="1:8" x14ac:dyDescent="0.25">
      <c r="A13" s="13">
        <v>21</v>
      </c>
      <c r="B13">
        <v>-147</v>
      </c>
      <c r="C13">
        <v>-21</v>
      </c>
      <c r="D13">
        <v>105</v>
      </c>
      <c r="E13">
        <v>231</v>
      </c>
      <c r="F13">
        <v>231</v>
      </c>
    </row>
    <row r="14" spans="1:8" x14ac:dyDescent="0.25">
      <c r="A14" s="13">
        <v>28</v>
      </c>
      <c r="B14">
        <v>-196</v>
      </c>
      <c r="C14">
        <v>-70</v>
      </c>
      <c r="D14">
        <v>56</v>
      </c>
      <c r="E14">
        <v>182</v>
      </c>
      <c r="F14">
        <v>308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Краски</vt:lpstr>
      <vt:lpstr>Транспортная задача</vt:lpstr>
      <vt:lpstr>Назначения</vt:lpstr>
      <vt:lpstr>Нелинейки</vt:lpstr>
      <vt:lpstr>Раскрой</vt:lpstr>
      <vt:lpstr>Журналы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2019-07-05T03:34:02Z</dcterms:modified>
</cp:coreProperties>
</file>